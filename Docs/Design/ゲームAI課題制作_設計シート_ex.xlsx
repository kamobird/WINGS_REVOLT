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nity\Ex_BaseAI\Assets\ゲームAI課題制作_設計シート一式\"/>
    </mc:Choice>
  </mc:AlternateContent>
  <xr:revisionPtr revIDLastSave="0" documentId="13_ncr:1_{2174BE11-890B-4C04-8137-46A5F5FB456D}" xr6:coauthVersionLast="47" xr6:coauthVersionMax="47" xr10:uidLastSave="{00000000-0000-0000-0000-000000000000}"/>
  <bookViews>
    <workbookView minimized="1" xWindow="1536" yWindow="1536" windowWidth="23040" windowHeight="12660" xr2:uid="{00000000-000D-0000-FFFF-FFFF00000000}"/>
  </bookViews>
  <sheets>
    <sheet name="01_設計書" sheetId="1" r:id="rId1"/>
    <sheet name="02_技術選択" sheetId="2" r:id="rId2"/>
    <sheet name="03_提出用まとめ" sheetId="3" r:id="rId3"/>
    <sheet name="04_使い方"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 i="3" l="1" a="1"/>
  <c r="B10" i="3" a="1"/>
  <c r="C10" i="3" a="1"/>
  <c r="D10" i="3" a="1"/>
  <c r="E10" i="3" a="1"/>
  <c r="F10" i="3" a="1"/>
  <c r="G10" i="3" a="1"/>
  <c r="A11" i="3" a="1"/>
  <c r="B11" i="3" a="1"/>
  <c r="C11" i="3" a="1"/>
  <c r="D11" i="3" a="1"/>
  <c r="E11" i="3" a="1"/>
  <c r="F11" i="3" a="1"/>
  <c r="G11" i="3" a="1"/>
  <c r="A12" i="3" a="1"/>
  <c r="B12" i="3" a="1"/>
  <c r="C12" i="3" a="1"/>
  <c r="D12" i="3" a="1"/>
  <c r="E12" i="3" a="1"/>
  <c r="F12" i="3" a="1"/>
  <c r="G12" i="3" a="1"/>
  <c r="A13" i="3" a="1"/>
  <c r="B13" i="3" a="1"/>
  <c r="C13" i="3" a="1"/>
  <c r="D13" i="3" a="1"/>
  <c r="E13" i="3" a="1"/>
  <c r="F13" i="3" a="1"/>
  <c r="G13" i="3" a="1"/>
  <c r="A14" i="3" a="1"/>
  <c r="B14" i="3" a="1"/>
  <c r="C14" i="3" a="1"/>
  <c r="D14" i="3" a="1"/>
  <c r="E14" i="3" a="1"/>
  <c r="F14" i="3" a="1"/>
  <c r="G14" i="3" a="1"/>
  <c r="A15" i="3" a="1"/>
  <c r="B15" i="3" a="1"/>
  <c r="C15" i="3" a="1"/>
  <c r="D15" i="3" a="1"/>
  <c r="E15" i="3" a="1"/>
  <c r="F15" i="3" a="1"/>
  <c r="G15" i="3" a="1"/>
  <c r="A16" i="3" a="1"/>
  <c r="B16" i="3" a="1"/>
  <c r="C16" i="3" a="1"/>
  <c r="D16" i="3" a="1"/>
  <c r="E16" i="3" a="1"/>
  <c r="F16" i="3" a="1"/>
  <c r="G16" i="3" a="1"/>
  <c r="A17" i="3" a="1"/>
  <c r="B17" i="3" a="1"/>
  <c r="C17" i="3" a="1"/>
  <c r="D17" i="3" a="1"/>
  <c r="E17" i="3" a="1"/>
  <c r="F17" i="3" a="1"/>
  <c r="G17" i="3" a="1"/>
  <c r="A18" i="3" a="1"/>
  <c r="B18" i="3" a="1"/>
  <c r="C18" i="3" a="1"/>
  <c r="D18" i="3" a="1"/>
  <c r="E18" i="3" a="1"/>
  <c r="F18" i="3" a="1"/>
  <c r="G18" i="3" a="1"/>
  <c r="A19" i="3" a="1"/>
  <c r="B19" i="3" a="1"/>
  <c r="C19" i="3" a="1"/>
  <c r="D19" i="3" a="1"/>
  <c r="E19" i="3" a="1"/>
  <c r="F19" i="3" a="1"/>
  <c r="G19" i="3" a="1"/>
  <c r="A20" i="3" a="1"/>
  <c r="B20" i="3" a="1"/>
  <c r="C20" i="3" a="1"/>
  <c r="D20" i="3" a="1"/>
  <c r="E20" i="3" a="1"/>
  <c r="F20" i="3" a="1"/>
  <c r="G20" i="3" a="1"/>
  <c r="A21" i="3" a="1"/>
  <c r="B21" i="3" a="1"/>
  <c r="C21" i="3" a="1"/>
  <c r="D21" i="3" a="1"/>
  <c r="E21" i="3" a="1"/>
  <c r="F21" i="3" a="1"/>
  <c r="G21" i="3" a="1"/>
  <c r="A22" i="3" a="1"/>
  <c r="B22" i="3" a="1"/>
  <c r="C22" i="3" a="1"/>
  <c r="D22" i="3" a="1"/>
  <c r="E22" i="3" a="1"/>
  <c r="F22" i="3" a="1"/>
  <c r="G22" i="3" a="1"/>
  <c r="A23" i="3" a="1"/>
  <c r="B23" i="3" a="1"/>
  <c r="C23" i="3" a="1"/>
  <c r="D23" i="3" a="1"/>
  <c r="E23" i="3" a="1"/>
  <c r="F23" i="3" a="1"/>
  <c r="G23" i="3" a="1"/>
  <c r="A24" i="3" a="1"/>
  <c r="B24" i="3" a="1"/>
  <c r="C24" i="3" a="1"/>
  <c r="D24" i="3" a="1"/>
  <c r="E24" i="3" a="1"/>
  <c r="F24" i="3" a="1"/>
  <c r="G24" i="3" a="1"/>
  <c r="A25" i="3" a="1"/>
  <c r="B25" i="3" a="1"/>
  <c r="C25" i="3" a="1"/>
  <c r="D25" i="3" a="1"/>
  <c r="E25" i="3" a="1"/>
  <c r="F25" i="3" a="1"/>
  <c r="G25" i="3" a="1"/>
  <c r="A26" i="3" a="1"/>
  <c r="B26" i="3" a="1"/>
  <c r="C26" i="3" a="1"/>
  <c r="D26" i="3" a="1"/>
  <c r="E26" i="3" a="1"/>
  <c r="F26" i="3" a="1"/>
  <c r="G26" i="3" a="1"/>
  <c r="A27" i="3" a="1"/>
  <c r="B27" i="3" a="1"/>
  <c r="C27" i="3" a="1"/>
  <c r="D27" i="3" a="1"/>
  <c r="E27" i="3" a="1"/>
  <c r="F27" i="3" a="1"/>
  <c r="G27" i="3" a="1"/>
  <c r="A28" i="3" a="1"/>
  <c r="B28" i="3" a="1"/>
  <c r="C28" i="3" a="1"/>
  <c r="D28" i="3" a="1"/>
  <c r="E28" i="3" a="1"/>
  <c r="F28" i="3" a="1"/>
  <c r="G28" i="3" a="1"/>
  <c r="A29" i="3" a="1"/>
  <c r="B29" i="3" a="1"/>
  <c r="C29" i="3" a="1"/>
  <c r="D29" i="3" a="1"/>
  <c r="E29" i="3" a="1"/>
  <c r="F29" i="3" a="1"/>
  <c r="G29" i="3" a="1"/>
  <c r="A30" i="3" a="1"/>
  <c r="B30" i="3" a="1"/>
  <c r="C30" i="3" a="1"/>
  <c r="D30" i="3" a="1"/>
  <c r="E30" i="3" a="1"/>
  <c r="F30" i="3" a="1"/>
  <c r="G30" i="3" a="1"/>
  <c r="A31" i="3" a="1"/>
  <c r="B31" i="3" a="1"/>
  <c r="C31" i="3" a="1"/>
  <c r="D31" i="3" a="1"/>
  <c r="E31" i="3" a="1"/>
  <c r="F31" i="3" a="1"/>
  <c r="G31" i="3" a="1"/>
  <c r="B47" i="3"/>
  <c r="B45" i="3"/>
  <c r="B43" i="3"/>
  <c r="B41" i="3"/>
  <c r="B39" i="3"/>
  <c r="B37" i="3"/>
  <c r="B35" i="3"/>
  <c r="B33" i="3"/>
  <c r="F6" i="3"/>
  <c r="D6" i="3"/>
  <c r="B6" i="3"/>
  <c r="F5" i="3"/>
  <c r="D5" i="3"/>
  <c r="B5" i="3"/>
  <c r="G23" i="1"/>
  <c r="C23" i="1"/>
  <c r="B23" i="1"/>
  <c r="G22" i="1"/>
  <c r="C22" i="1"/>
  <c r="B22" i="1"/>
  <c r="G21" i="1"/>
  <c r="C21" i="1"/>
  <c r="B21" i="1"/>
  <c r="G20" i="1"/>
  <c r="C20" i="1"/>
  <c r="B20" i="1"/>
  <c r="G19" i="1"/>
  <c r="C19" i="1"/>
  <c r="B19" i="1"/>
  <c r="G18" i="1"/>
  <c r="C18" i="1"/>
  <c r="B1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<sst xmlns="http://schemas.openxmlformats.org/spreadsheetml/2006/main" count="465" uniqueCount="253">
  <si>
    <t>ゲームAI課題制作　提出用まとめ</t>
  </si>
  <si>
    <t>ゲームAI課題制作　設計シート</t>
  </si>
  <si>
    <t>教科書ロードマップから、制作で意識する技術・概念を選ぶ</t>
  </si>
  <si>
    <t>このシートの使い方</t>
  </si>
  <si>
    <t>「採用」にした項目は提出用まとめへ反映できます。最低でも主分野から1項目は採用し、F～I列に自分の実装方針を書いてください。</t>
  </si>
  <si>
    <t>氏名</t>
  </si>
  <si>
    <t>手順</t>
  </si>
  <si>
    <t>採用状況</t>
  </si>
  <si>
    <t>教科書のどの分野・技術を意識して設計したかを、実装前に言語化するためのシートです。</t>
  </si>
  <si>
    <t>基本情報</t>
  </si>
  <si>
    <t>すること</t>
  </si>
  <si>
    <t>位置づけ</t>
  </si>
  <si>
    <t>ポイント</t>
  </si>
  <si>
    <t>分野</t>
  </si>
  <si>
    <t>技術・概念</t>
  </si>
  <si>
    <t>かも</t>
  </si>
  <si>
    <t>章</t>
  </si>
  <si>
    <t>何のために使うか</t>
  </si>
  <si>
    <t>Unity上でどう実装するか</t>
  </si>
  <si>
    <t>1</t>
  </si>
  <si>
    <t>期待する挙動</t>
  </si>
  <si>
    <t>作品名</t>
  </si>
  <si>
    <t>どう確認するか</t>
  </si>
  <si>
    <t>主分野</t>
  </si>
  <si>
    <t>01_設計書を書く</t>
  </si>
  <si>
    <t>備考</t>
  </si>
  <si>
    <t>学籍番号</t>
  </si>
  <si>
    <t>AIの目的／認識／内部状態／判断／行動を先に言葉にする。</t>
  </si>
  <si>
    <t>学習を作る</t>
  </si>
  <si>
    <t>補助分野1</t>
  </si>
  <si>
    <t>2</t>
  </si>
  <si>
    <t>主分野を1つ選ぶ</t>
  </si>
  <si>
    <t>6分野のうち、自分の作品で最も掘り下げる分野を決める。</t>
  </si>
  <si>
    <t>未使用</t>
  </si>
  <si>
    <t>認識を作る</t>
  </si>
  <si>
    <t>補助分野2</t>
  </si>
  <si>
    <t>3</t>
  </si>
  <si>
    <t>02_技術選択で技術を選ぶ</t>
  </si>
  <si>
    <t>知能を作る</t>
  </si>
  <si>
    <t>最低でも主分野から1項目を「採用」。必要なら補助分野も使う。</t>
  </si>
  <si>
    <t>4</t>
  </si>
  <si>
    <t>個人</t>
  </si>
  <si>
    <t>採用項目の実装方針を書く</t>
  </si>
  <si>
    <t>F～I列に「目的・Unity実装・期待する挙動・確認方法」を書く。</t>
  </si>
  <si>
    <t>参考</t>
  </si>
  <si>
    <t>5</t>
  </si>
  <si>
    <t>Unityで実装・検証する</t>
  </si>
  <si>
    <t>コードの完成だけでなく、判断理由が観察できるようにする。</t>
  </si>
  <si>
    <t>ゲームAIの作り方</t>
  </si>
  <si>
    <t>AIの設計</t>
  </si>
  <si>
    <t>6</t>
  </si>
  <si>
    <t>AIの目的
（何者で、何を達成するAIか）</t>
  </si>
  <si>
    <t>提出用まとめを更新する</t>
  </si>
  <si>
    <t>補助1</t>
  </si>
  <si>
    <t>知能と宇宙</t>
  </si>
  <si>
    <t>見せたい知性
（どんな振る舞いに見せたいか）</t>
  </si>
  <si>
    <t>認識するもの
（距離・視界・属性・音など）</t>
  </si>
  <si>
    <t>1章</t>
  </si>
  <si>
    <t>内部状態・記憶
（HP・警戒度・記憶・学習値など）</t>
  </si>
  <si>
    <t>6分野の意味</t>
  </si>
  <si>
    <t>補助2</t>
  </si>
  <si>
    <t>判断方法
（FSM・Utility・Goal・ルール等）</t>
  </si>
  <si>
    <t>行動
（巡回・追跡・逃走・休憩など）</t>
  </si>
  <si>
    <t>ゲームAIをどう捉え、どんな体験を作るかという土台。</t>
  </si>
  <si>
    <t>世界・身体の制約
（見えない・届かない・遅い等）</t>
  </si>
  <si>
    <t>採用した技術・概念</t>
  </si>
  <si>
    <t>・</t>
  </si>
  <si>
    <t>確認方法
（Gizmos・画面表示・ログ等）</t>
  </si>
  <si>
    <t>AIの歴史とゲームAIの歴史</t>
  </si>
  <si>
    <t>AIの認識→判断→行動が説明できる</t>
  </si>
  <si>
    <t>分野別の採用状況（「02_技術選択」の採用数を自動集計）</t>
  </si>
  <si>
    <t>目的</t>
  </si>
  <si>
    <t>Unity実装</t>
  </si>
  <si>
    <t>AIが世界の何を、どのような形で知るか。</t>
  </si>
  <si>
    <t>確認方法</t>
  </si>
  <si>
    <t>主分野と採用した技術・概念が明示されている</t>
  </si>
  <si>
    <t>採用数</t>
  </si>
  <si>
    <t>主/補助の意識</t>
  </si>
  <si>
    <t>デジタルゲームの2つの進化</t>
  </si>
  <si>
    <t>身体を作る</t>
  </si>
  <si>
    <t>制作での役割</t>
  </si>
  <si>
    <t>提出前チェック</t>
  </si>
  <si>
    <t>センサー・身体状態・運動能力を通じて世界と関わる。</t>
  </si>
  <si>
    <t>採用技術をUnity上でどう実装したか説明できる</t>
  </si>
  <si>
    <t>メタ思考とメタ知識</t>
  </si>
  <si>
    <t>2章</t>
  </si>
  <si>
    <t>生きているということ</t>
  </si>
  <si>
    <t>経験や適応によって、将来の判断や内部状態が変化する。</t>
  </si>
  <si>
    <t>状況が変わるとAIの振る舞いも変わる</t>
  </si>
  <si>
    <t>協調を作る</t>
  </si>
  <si>
    <t>複数AIが情報や役割を共有し、集団として振る舞う。</t>
  </si>
  <si>
    <t>判断理由や内部状態を観察できる</t>
  </si>
  <si>
    <t>ブラックボード・アーキテクチャで世界を認識する</t>
  </si>
  <si>
    <t>現実感（リアリティ）を追求する</t>
  </si>
  <si>
    <t>物・事・世界</t>
  </si>
  <si>
    <t>自律性・モジュール構造・意思決定アルゴリズムを設計する。</t>
  </si>
  <si>
    <t>5章</t>
  </si>
  <si>
    <t>マクロについて</t>
  </si>
  <si>
    <t>ゲームとアフォーダンス</t>
  </si>
  <si>
    <t>7章</t>
  </si>
  <si>
    <t>現実を作る秩序</t>
  </si>
  <si>
    <t>3章</t>
  </si>
  <si>
    <t>学習・適応・進化</t>
  </si>
  <si>
    <t>6章</t>
  </si>
  <si>
    <t>キャラクターが学習していく仕組み</t>
  </si>
  <si>
    <t>デジタルゲームにおける人工知能</t>
  </si>
  <si>
    <t>⑤ゴールベースAI</t>
  </si>
  <si>
    <t>4章</t>
  </si>
  <si>
    <t>⑥ユーティリティベースAI</t>
  </si>
  <si>
    <t>ゲームにおいて知能を感じる</t>
  </si>
  <si>
    <t>⑦シミュレーションベースAI</t>
  </si>
  <si>
    <t>主分野が選ばれている</t>
  </si>
  <si>
    <t>3つのゲームAIでユーザー体験を作る</t>
  </si>
  <si>
    <t>人工知能の中心課題「フレーム」</t>
  </si>
  <si>
    <t>採用</t>
  </si>
  <si>
    <t>補助</t>
  </si>
  <si>
    <t>AI全体の説明（設計書から転記）</t>
  </si>
  <si>
    <t>AIの目的</t>
  </si>
  <si>
    <t>主分野で技術を1つ以上採用</t>
  </si>
  <si>
    <t>見せたい知性</t>
  </si>
  <si>
    <t>認識するもの</t>
  </si>
  <si>
    <t>人工知能はコンテキストを理解できるか</t>
  </si>
  <si>
    <t>内部状態・記憶</t>
  </si>
  <si>
    <t>主</t>
  </si>
  <si>
    <t>判断方法</t>
  </si>
  <si>
    <t>物語の力</t>
  </si>
  <si>
    <t>認識するものを記述</t>
  </si>
  <si>
    <t>行動</t>
  </si>
  <si>
    <t>知覚空間と作用空間で世界を認識する</t>
  </si>
  <si>
    <t>世界・身体の制約</t>
  </si>
  <si>
    <t>不確かな情報の信頼度を使って思考する</t>
  </si>
  <si>
    <t>キャラクターのセンサーを作る</t>
  </si>
  <si>
    <t>判断方法を記述</t>
  </si>
  <si>
    <t>キャラクターの身体を認識するということ</t>
  </si>
  <si>
    <t>身体と知能</t>
  </si>
  <si>
    <t>行動を記述</t>
  </si>
  <si>
    <t>運動の統合</t>
  </si>
  <si>
    <t>協応の原理</t>
  </si>
  <si>
    <t>環境にキャラクターを操作させる</t>
  </si>
  <si>
    <t>確認方法を記述</t>
  </si>
  <si>
    <t>キャラクターの生活感を出す</t>
  </si>
  <si>
    <t>9章</t>
  </si>
  <si>
    <t>ニューラルネットワーク入門</t>
  </si>
  <si>
    <t>これからのゲームAI</t>
  </si>
  <si>
    <t>街を作る</t>
  </si>
  <si>
    <t>8章</t>
  </si>
  <si>
    <t>複数の思考による投票システム</t>
  </si>
  <si>
    <t>チーム表現</t>
  </si>
  <si>
    <t>群衆をたくさん作るためのLOD</t>
  </si>
  <si>
    <t>プレイヤーを包囲する方法</t>
  </si>
  <si>
    <t>セルベースの群衆制御法</t>
  </si>
  <si>
    <t>ソーシャル・ネットワーク・グラフ</t>
  </si>
  <si>
    <t>AI同士の連携</t>
  </si>
  <si>
    <t>ブラックボードで情報を把握する</t>
  </si>
  <si>
    <t>反射から自律へ</t>
  </si>
  <si>
    <t>モジュラーデザインを作る</t>
  </si>
  <si>
    <t>創造と選択</t>
  </si>
  <si>
    <t>意思決定の7つのアルゴリズム</t>
  </si>
  <si>
    <t>①ルールベースAI</t>
  </si>
  <si>
    <t>②ステートベースAI</t>
  </si>
  <si>
    <t>③ビヘイビアベースAI</t>
  </si>
  <si>
    <t>④タスクベースAI</t>
  </si>
  <si>
    <t>7つのAIはどう活かされるか？</t>
  </si>
  <si>
    <t>メタAIでユーザーの緊張度を測る</t>
  </si>
  <si>
    <t>WINGS</t>
    <phoneticPr fontId="23"/>
  </si>
  <si>
    <t>タワーへ侵攻する敵群と、追従・防衛・攻撃の指示を遂行する味方部隊を制御する。認識→判断→移動・攻撃を分離し、全体リストにいるだけの敵を既知とは扱わない。</t>
  </si>
  <si>
    <t>敵はNavMeshで拠点へ進み、セル内の近傍回避と包囲位置の予約で一列への集中を抑える。味方は編隊間隔と命令の行動範囲を保ち、目視した敵から適した攻撃目標を選ぶ。見失った相手の現在位置は追わない。</t>
  </si>
  <si>
    <t>視覚は距離・水平視野角・上下角・遮蔽物を約0.12秒ごとに判定。味方は120度、敵は110度。視認距離は味方25～55m、敵20～25m。胴・肩・頭の3点を調べ、射撃は別に銃口からの射線と武器射程を確認する。タワー位置とNavMeshは既知の任務・地図情報。音の推定は未採用。</t>
  </si>
  <si>
    <t>大命令は追従・防衛・攻撃を保持。追従は編隊位置へ戻り、リーダーから12mを超えたら帰還を優先。防衛はタワーから11mの範囲を維持。攻撃は目視した敵へ接近し、敵を知らなければ巡回。内部状態は警戒・帰還・追跡・位置調整・攻撃・捜索・装填。最終目撃位置は固定して3秒で忘れ、味方の報告は元の目撃時刻から1.5秒で失効。HP・弾数・射程・クールダウンも参照する。</t>
  </si>
  <si>
    <t>大命令＋FSMで行動を切り替え、目視した候補の距離・拠点への脅威・味方の担当数を効用スコアで比較する。目標は0.65秒保持し、原則8点以上有利な候補へ切替。安全条件はルールで判定。GOAP、学習、先読みシミュレーションは今回は使用しない。</t>
  </si>
  <si>
    <t>敵：拠点へ進行、目視した相手へ接近・包囲、射線・距離確認後に攻撃。味方：編隊追従、拠点警戒、巡回、目視目標の追跡、適正射程への位置調整、装填、状況に応じた固有能力。視界を失うと最終目撃地点を調べる。</t>
  </si>
  <si>
    <t>視界外の現在位置・HPは判断に使わない。記憶・報告だけでは射撃しない。頭が見えても銃口が隠れていれば位置を変える。タカのULTは壁の遮蔽だけ例外で、距離・視野角は維持。物理的な近傍回避は敵の発見情報にはしない。移動先は命令の範囲とNavMeshに制約される。</t>
  </si>
  <si>
    <t>F1で味方の命令・状態・判断理由・目視数・射撃許可・経路を表示。UnityでAIBodyを選択すると視野扇形、目視線、最終目撃地点をGizmos表示。味方の状態遷移はログに記録。自動検証で背後・距離外・遮蔽・低い壁・記憶の固定と失効・報告の失効・行動範囲・NavMesh迂回・包囲分担を確認する。</t>
  </si>
  <si>
    <t>センサーで得た事実を判断用の記録へ分離する。</t>
  </si>
  <si>
    <t>VisionSensorのContactに目標ID、観測位置、目撃時刻、可視状態、情報源、信頼度を保存する。</t>
  </si>
  <si>
    <t>全体に存在する敵と、自分が知る敵を区別する。</t>
  </si>
  <si>
    <t>背後・壁裏にいる登録済みの敵を選ばない試験。</t>
  </si>
  <si>
    <t>本作の個体内認識記録として採用。</t>
  </si>
  <si>
    <t>見える範囲と攻撃できる範囲を分ける。</t>
  </si>
  <si>
    <t>CanSeeで視野・距離・遮蔽、CanFireで銃口の射線と武器射程を別に判定する。</t>
  </si>
  <si>
    <t>頭が見えても射線が塞がる場合は射撃せず位置を変える。</t>
  </si>
  <si>
    <t>低い壁で視認可・発砲不可になる試験。</t>
  </si>
  <si>
    <t>分類・章番号は元シートを維持。</t>
  </si>
  <si>
    <t>古い記憶や伝聞を現在の事実と混同しない。</t>
  </si>
  <si>
    <t>見失った相手を透視追跡せず、記録した地点を短時間調べる。</t>
  </si>
  <si>
    <t>遮蔽中に相手を動かしても記憶位置が変わらないことと期限切れを検証。</t>
  </si>
  <si>
    <t>記憶・伝聞だけの射撃は禁止。</t>
  </si>
  <si>
    <t>敵味方の視界に入っているかを判断する。</t>
  </si>
  <si>
    <t>VisionSensorで視野角と距離を絞り、胴・肩・頭へのLinecastで遮蔽を確認。約0.12秒間隔で更新する。</t>
  </si>
  <si>
    <t>背後・遠距離・完全に隠れた相手を認識しない。</t>
  </si>
  <si>
    <t>正面・背後・範囲外・完全遮蔽・頭だけ露出の試験。</t>
  </si>
  <si>
    <t>遮蔽物はWallレイヤー。タカULTの壁視認は明示的な例外。</t>
  </si>
  <si>
    <t>自分の武器・身体・資源の制約を判断に使う。</t>
  </si>
  <si>
    <t>キャラ別の射程・適正距離、HP、弾数、装填、ライデンゲージ、能力の再使用時間を参照する。</t>
  </si>
  <si>
    <t>届かない攻撃や条件を満たさない能力を連発しない。</t>
  </si>
  <si>
    <t>射程外・装填中・ゲージ不足と、既存の能力検証を組み合わせる。</t>
  </si>
  <si>
    <t>学習値ではなく現在の身体状態を使用。</t>
  </si>
  <si>
    <t>経路移動と局所回避を両立する。</t>
  </si>
  <si>
    <t>実マップのColliderからNavMeshを生成。PathMotorの経路にセル近傍の分離操舵を合成し、CharacterControllerで移動する。</t>
  </si>
  <si>
    <t>遮蔽物を迂回し、仲間や敵同士の密集を緩和する。</t>
  </si>
  <si>
    <t>遮蔽物を挟んだ完全経路と、近接した2体が離れる方向を検証。</t>
  </si>
  <si>
    <t>氷壁はNavMeshObstacleのcarvingで反映。</t>
  </si>
  <si>
    <t>部隊として命令と配置を表す。</t>
  </si>
  <si>
    <t>SquadOrderを大命令、SquadBrainの状態を下位行動とする。追従の編隊位置と防衛範囲を個体へ割り当てる。</t>
  </si>
  <si>
    <t>同じ指示を共有しつつ、全員が同じ一点に集まらない。</t>
  </si>
  <si>
    <t>追従・防衛・攻撃を切り替え、状態と目的地をF1・ログで確認。</t>
  </si>
  <si>
    <t>個体の認識は独立。命令と味方の隊列情報は共有。</t>
  </si>
  <si>
    <t>近接する敵が同一点へ殺到するのを抑える。</t>
  </si>
  <si>
    <t>SquadBlackboardで目標ごとの包囲スロットを予約。相手には8、タワーには12の候補位置を設け、期限付きで担当する。</t>
  </si>
  <si>
    <t>複数の敵が別方向から接近し、タワーの周囲へ展開する。</t>
  </si>
  <si>
    <t>同じ条件の2体に異なるスロットと間隔が与えられることを検証。</t>
  </si>
  <si>
    <t>包囲に使う相手位置は目視した観測位置のみ。</t>
  </si>
  <si>
    <t>近くの個体の密集と押し合いを減らす。</t>
  </si>
  <si>
    <t>CrowdGridで2.5mセルへ個体を分け、周辺セルの物理的な近傍だけから分離方向を算出する。壁を挟む相手は回避計算から除外する。</t>
  </si>
  <si>
    <t>列や団子への過度な集中を緩和し、通路では自然に列になる。</t>
  </si>
  <si>
    <t>同一セルへ複数体を置き、間隔・回避方向と実際の群衆移動を確認。</t>
  </si>
  <si>
    <t>本作ではセル空間分割と局所密度回避として採用。</t>
  </si>
  <si>
    <t>味方の発見と攻撃担当を連携させる。</t>
  </si>
  <si>
    <t>目視したContactだけを報告し、担当予約数を目標の効用評価へ反映。報告を受けた味方は地点へ向かい、自分で再発見して攻撃する。</t>
  </si>
  <si>
    <t>離れた味方の発見を捜索に使い、過剰な集中攻撃を抑える。</t>
  </si>
  <si>
    <t>報告の元時刻・失効と、伝聞を新しい目視として再送しないことを検証。</t>
  </si>
  <si>
    <t>報告は射撃許可を与えない。</t>
  </si>
  <si>
    <t>共有情報と配置予約を一か所で管理する。</t>
  </si>
  <si>
    <t>SquadBlackboardに観測位置・報告者・観測時刻と、担当スロット・予約期限を保持する。死亡・任務終了時に予約を解放する。</t>
  </si>
  <si>
    <t>共有情報の鮮度と、誰がどこを担当するかを説明できる。</t>
  </si>
  <si>
    <t>報告の失効、スロット競合の回避、任務終了時の初期化を確認。</t>
  </si>
  <si>
    <t>共有板は全敵の現在位置を取得しない。</t>
  </si>
  <si>
    <t>認識・判断・移動・行動を独立して改善できるようにする。</t>
  </si>
  <si>
    <t>AIBody、VisionSensor、SquadBrain/EnemyBrain、PathMotor、既存の武器・能力処理へ分離する。</t>
  </si>
  <si>
    <t>認識ルールを変えても武器処理を作り直さずに済む。</t>
  </si>
  <si>
    <t>認識だけの試験、命令の判断試験、実際の防衛戦を段階的に実行。</t>
  </si>
  <si>
    <t>AI設定はResources/WingsAI.assetで調整。</t>
  </si>
  <si>
    <t>射撃や能力の安全条件を確実に守る。</t>
  </si>
  <si>
    <t>目視・射線・射程・弾数・装填・ゲージ・クールダウンを条件分岐で判定。記憶だけの攻撃を拒否する。</t>
  </si>
  <si>
    <t>壁越しの通常射撃や資源不足の連発を避ける。</t>
  </si>
  <si>
    <t>見失った目標への発砲拒否、射線遮蔽と既存の資源消費試験。</t>
  </si>
  <si>
    <t>タカのULTによる壁貫通は能力の仕様として扱う。</t>
  </si>
  <si>
    <t>大命令の内側で状況に応じて行動を変える。</t>
  </si>
  <si>
    <t>Guard、Patrol、Regroup、Pursue、Reposition、Attack、Investigate、Reloadを明示し、状態遷移と理由を記録する。</t>
  </si>
  <si>
    <t>射線が悪ければ位置調整、敵を失えば捜索、離れすぎれば帰還へ切り替わる。</t>
  </si>
  <si>
    <t>F1と状態遷移ログ、追従・防衛の範囲試験で確認。</t>
  </si>
  <si>
    <t>大命令と下位状態を分けたFSM。</t>
  </si>
  <si>
    <t>可視の候補から状況に合う攻撃目標を選ぶ。</t>
  </si>
  <si>
    <t>適正射程との差、拠点への接近度、味方の担当数を点数化。保持時間と切替差で目標の頻繁な入れ替わりを抑える。</t>
  </si>
  <si>
    <t>同じ近さの相手へ毎回目標を振り直さず、役割に合う敵を選ぶ。</t>
  </si>
  <si>
    <t>同条件の候補、担当数と射程差を変え、目標IDと判断を比較する。</t>
  </si>
  <si>
    <t>効用評価の対象は攻撃目標。行動遷移はFSMで扱う。</t>
  </si>
  <si>
    <t>将来候補。現在は大命令＋FSMを使い、GOAPの計画探索は行わない。</t>
  </si>
  <si>
    <t>今回は未採用。将来状態の先読み探索は実装しない。</t>
  </si>
  <si>
    <t>この改訂版では数式で自動反映。採用項目とF～I列の実装方針が一致することを確認する。</t>
  </si>
  <si>
    <t>直接視認は信頼度1、記憶は3秒で減衰。報告は0.65を上限に1.5秒で減衰し、元の観測時刻を保持。0.2未満は捜索に使わず、高い信頼度の地点を優先する。</t>
  </si>
  <si>
    <t>「02_技術選択」で採用した項目を数式で自動表示します（22項目まで）。VBAの実行は不要です。</t>
  </si>
  <si>
    <t>この改訂版では .xlsx のまま使用できます。「03_提出用まとめ」は採用状況と実装方針に数式で連動するため、VBAマクロの導入・実行は不要です。採用後は、元の技術名・章番号を保ち、F～I列の説明と実際のコードを対応させ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</si>
</sst>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24">
    <font>
      <sz val="11"/>
      <color rgb="FF000000"/>
      <name val="Carlito"/>
      <scheme val="minor"/>
    </font>
    <font>
      <b/>
      <sz val="18"/>
      <color rgb="FFFFFFFF"/>
      <name val="Carlito"/>
      <family val="3"/>
      <charset val="128"/>
    </font>
    <font>
      <sz val="11"/>
      <name val="Carlito"/>
      <family val="3"/>
      <charset val="128"/>
    </font>
    <font>
      <i/>
      <sz val="11"/>
      <color rgb="FF475569"/>
      <name val="Carlito"/>
      <family val="3"/>
      <charset val="128"/>
    </font>
    <font>
      <b/>
      <sz val="11"/>
      <color rgb="FF134E4A"/>
      <name val="Carlito"/>
      <family val="3"/>
      <charset val="128"/>
    </font>
    <font>
      <b/>
      <sz val="11"/>
      <color rgb="FFFFFFFF"/>
      <name val="Carlito"/>
      <family val="3"/>
      <charset val="128"/>
    </font>
    <font>
      <b/>
      <sz val="12"/>
      <color rgb="FF064E3B"/>
      <name val="Carlito"/>
      <family val="3"/>
      <charset val="128"/>
    </font>
    <font>
      <sz val="11"/>
      <color rgb="FF111827"/>
      <name val="Carlito"/>
      <family val="3"/>
      <charset val="128"/>
    </font>
    <font>
      <sz val="11"/>
      <color theme="1"/>
      <name val="Carlito"/>
      <family val="3"/>
      <charset val="128"/>
    </font>
    <font>
      <sz val="11"/>
      <color theme="1"/>
      <name val="Carlito"/>
      <family val="3"/>
      <charset val="128"/>
      <scheme val="minor"/>
    </font>
    <font>
      <b/>
      <sz val="11"/>
      <color rgb="FF0F766E"/>
      <name val="Carlito"/>
      <family val="3"/>
      <charset val="128"/>
    </font>
    <font>
      <sz val="11"/>
      <color rgb="FF0F766E"/>
      <name val="Carlito"/>
      <family val="3"/>
      <charset val="128"/>
    </font>
    <font>
      <b/>
      <sz val="11"/>
      <color rgb="FF1D4ED8"/>
      <name val="Carlito"/>
      <family val="3"/>
      <charset val="128"/>
    </font>
    <font>
      <b/>
      <sz val="11"/>
      <color rgb="FFC2410C"/>
      <name val="Carlito"/>
      <family val="3"/>
      <charset val="128"/>
    </font>
    <font>
      <b/>
      <sz val="11"/>
      <color rgb="FF15803D"/>
      <name val="Carlito"/>
      <family val="3"/>
      <charset val="128"/>
    </font>
    <font>
      <b/>
      <sz val="11"/>
      <color rgb="FF7E22CE"/>
      <name val="Carlito"/>
      <family val="3"/>
      <charset val="128"/>
    </font>
    <font>
      <b/>
      <sz val="11"/>
      <color rgb="FFB91C1C"/>
      <name val="Carlito"/>
      <family val="3"/>
      <charset val="128"/>
    </font>
    <font>
      <b/>
      <sz val="11"/>
      <color theme="1"/>
      <name val="Carlito"/>
      <family val="3"/>
      <charset val="128"/>
    </font>
    <font>
      <sz val="11"/>
      <color rgb="FF1D4ED8"/>
      <name val="Carlito"/>
      <family val="3"/>
      <charset val="128"/>
    </font>
    <font>
      <sz val="11"/>
      <color rgb="FFC2410C"/>
      <name val="Carlito"/>
      <family val="3"/>
      <charset val="128"/>
    </font>
    <font>
      <sz val="11"/>
      <color rgb="FF15803D"/>
      <name val="Carlito"/>
      <family val="3"/>
      <charset val="128"/>
    </font>
    <font>
      <sz val="11"/>
      <color rgb="FF7E22CE"/>
      <name val="Carlito"/>
      <family val="3"/>
      <charset val="128"/>
    </font>
    <font>
      <sz val="11"/>
      <color rgb="FFB91C1C"/>
      <name val="Carlito"/>
      <family val="3"/>
      <charset val="128"/>
    </font>
    <font>
      <sz val="6"/>
      <name val="Carlito"/>
      <family val="3"/>
      <charset val="128"/>
      <scheme val="minor"/>
    </font>
  </fonts>
  <fills count="14">
    <fill>
      <patternFill patternType="none"/>
    </fill>
    <fill>
      <patternFill patternType="gray125"/>
    </fill>
    <fill>
      <patternFill patternType="solid">
        <fgColor rgb="FF0F766E"/>
        <bgColor rgb="FF0F766E"/>
      </patternFill>
    </fill>
    <fill>
      <patternFill patternType="solid">
        <fgColor rgb="FFF8FAFC"/>
        <bgColor rgb="FFF8FAFC"/>
      </patternFill>
    </fill>
    <fill>
      <patternFill patternType="solid">
        <fgColor rgb="FFF0FDFA"/>
        <bgColor rgb="FFF0FDFA"/>
      </patternFill>
    </fill>
    <fill>
      <patternFill patternType="solid">
        <fgColor rgb="FF134E4A"/>
        <bgColor rgb="FF134E4A"/>
      </patternFill>
    </fill>
    <fill>
      <patternFill patternType="solid">
        <fgColor rgb="FFD1FAE5"/>
        <bgColor rgb="FFD1FAE5"/>
      </patternFill>
    </fill>
    <fill>
      <patternFill patternType="solid">
        <fgColor rgb="FFFFFBEB"/>
        <bgColor rgb="FFFFFBEB"/>
      </patternFill>
    </fill>
    <fill>
      <patternFill patternType="solid">
        <fgColor rgb="FFCCFBF1"/>
        <bgColor rgb="FFCCFBF1"/>
      </patternFill>
    </fill>
    <fill>
      <patternFill patternType="solid">
        <fgColor rgb="FFDBEAFE"/>
        <bgColor rgb="FFDBEAFE"/>
      </patternFill>
    </fill>
    <fill>
      <patternFill patternType="solid">
        <fgColor rgb="FFFFEDD5"/>
        <bgColor rgb="FFFFEDD5"/>
      </patternFill>
    </fill>
    <fill>
      <patternFill patternType="solid">
        <fgColor rgb="FFDCFCE7"/>
        <bgColor rgb="FFDCFCE7"/>
      </patternFill>
    </fill>
    <fill>
      <patternFill patternType="solid">
        <fgColor rgb="FFF3E8FF"/>
        <bgColor rgb="FFF3E8FF"/>
      </patternFill>
    </fill>
    <fill>
      <patternFill patternType="solid">
        <fgColor rgb="FFFEE2E2"/>
        <bgColor rgb="FFFEE2E2"/>
      </patternFill>
    </fill>
  </fills>
  <borders count="12">
    <border>
      <left/>
      <right/>
      <top/>
      <bottom/>
      <diagonal/>
    </border>
    <border>
      <left style="thin">
        <color rgb="FFCBD5E1"/>
      </left>
      <right/>
      <top style="thin">
        <color rgb="FFCBD5E1"/>
      </top>
      <bottom/>
      <diagonal/>
    </border>
    <border>
      <left/>
      <right/>
      <top style="thin">
        <color rgb="FFCBD5E1"/>
      </top>
      <bottom/>
      <diagonal/>
    </border>
    <border>
      <left/>
      <right style="thin">
        <color rgb="FFCBD5E1"/>
      </right>
      <top style="thin">
        <color rgb="FFCBD5E1"/>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style="thin">
        <color rgb="FFCBD5E1"/>
      </left>
      <right/>
      <top/>
      <bottom/>
      <diagonal/>
    </border>
    <border>
      <left/>
      <right style="thin">
        <color rgb="FFCBD5E1"/>
      </right>
      <top/>
      <bottom/>
      <diagonal/>
    </border>
    <border>
      <left style="thin">
        <color rgb="FFCBD5E1"/>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thin">
        <color rgb="FFCBD5E1"/>
      </bottom>
      <diagonal/>
    </border>
  </borders>
  <cellStyleXfs count="1">
    <xf numFmtId="0" fontId="0" fillId="0" borderId="0"/>
  </cellStyleXfs>
  <cellXfs count="68">
    <xf numFmtId="0" fontId="0" fillId="0" borderId="0" xfId="0"/>
    <xf numFmtId="0" fontId="4" fillId="4" borderId="0" xfId="0" applyFont="1" applyFill="1" applyAlignment="1">
      <alignment vertical="top" wrapText="1"/>
    </xf>
    <xf numFmtId="0" fontId="5" fillId="5" borderId="1" xfId="0" applyFont="1" applyFill="1" applyBorder="1" applyAlignment="1">
      <alignment horizontal="center" vertical="center" wrapText="1"/>
    </xf>
    <xf numFmtId="0" fontId="6" fillId="6" borderId="0" xfId="0" applyFont="1" applyFill="1" applyAlignment="1">
      <alignment vertical="center"/>
    </xf>
    <xf numFmtId="0" fontId="5" fillId="5" borderId="2" xfId="0" applyFont="1" applyFill="1" applyBorder="1" applyAlignment="1">
      <alignment horizontal="center" vertical="center" wrapText="1"/>
    </xf>
    <xf numFmtId="0" fontId="7" fillId="7" borderId="0" xfId="0" applyFont="1" applyFill="1" applyAlignment="1">
      <alignment vertical="top" wrapText="1"/>
    </xf>
    <xf numFmtId="0" fontId="5" fillId="5" borderId="3" xfId="0" applyFont="1" applyFill="1" applyBorder="1" applyAlignment="1">
      <alignment horizontal="center" vertical="center" wrapText="1"/>
    </xf>
    <xf numFmtId="0" fontId="8" fillId="0" borderId="7" xfId="0" applyFont="1" applyBorder="1" applyAlignment="1">
      <alignment wrapText="1"/>
    </xf>
    <xf numFmtId="0" fontId="9" fillId="0" borderId="0" xfId="0" applyFont="1"/>
    <xf numFmtId="0" fontId="8" fillId="0" borderId="0" xfId="0" applyFont="1" applyAlignment="1">
      <alignment wrapText="1"/>
    </xf>
    <xf numFmtId="0" fontId="8" fillId="0" borderId="8" xfId="0" applyFont="1" applyBorder="1" applyAlignment="1">
      <alignment wrapText="1"/>
    </xf>
    <xf numFmtId="0" fontId="8" fillId="0" borderId="7" xfId="0" applyFont="1" applyBorder="1" applyAlignment="1">
      <alignment vertical="top" wrapText="1"/>
    </xf>
    <xf numFmtId="176" fontId="7" fillId="7" borderId="0" xfId="0" applyNumberFormat="1" applyFont="1" applyFill="1" applyAlignment="1">
      <alignment vertical="top" wrapText="1"/>
    </xf>
    <xf numFmtId="0" fontId="8" fillId="0" borderId="0" xfId="0" applyFont="1" applyAlignment="1">
      <alignment vertical="top" wrapText="1"/>
    </xf>
    <xf numFmtId="0" fontId="10" fillId="8" borderId="0" xfId="0" applyFont="1" applyFill="1" applyAlignment="1">
      <alignment vertical="top" wrapText="1"/>
    </xf>
    <xf numFmtId="0" fontId="8" fillId="0" borderId="4" xfId="0" applyFont="1" applyBorder="1" applyAlignment="1">
      <alignment wrapText="1"/>
    </xf>
    <xf numFmtId="0" fontId="8" fillId="0" borderId="5" xfId="0" applyFont="1" applyBorder="1" applyAlignment="1">
      <alignment wrapText="1"/>
    </xf>
    <xf numFmtId="0" fontId="11" fillId="8" borderId="0" xfId="0" applyFont="1" applyFill="1" applyAlignment="1">
      <alignment vertical="top" wrapText="1"/>
    </xf>
    <xf numFmtId="0" fontId="8" fillId="0" borderId="6" xfId="0" applyFont="1" applyBorder="1" applyAlignment="1">
      <alignment wrapText="1"/>
    </xf>
    <xf numFmtId="0" fontId="10" fillId="8" borderId="9" xfId="0" applyFont="1" applyFill="1" applyBorder="1"/>
    <xf numFmtId="0" fontId="7" fillId="7" borderId="8" xfId="0" applyFont="1" applyFill="1" applyBorder="1" applyAlignment="1">
      <alignment vertical="top" wrapText="1"/>
    </xf>
    <xf numFmtId="0" fontId="8" fillId="0" borderId="10" xfId="0" applyFont="1" applyBorder="1" applyAlignment="1">
      <alignment wrapText="1"/>
    </xf>
    <xf numFmtId="0" fontId="8" fillId="0" borderId="1" xfId="0" applyFont="1" applyBorder="1" applyAlignment="1">
      <alignment wrapText="1"/>
    </xf>
    <xf numFmtId="0" fontId="8" fillId="0" borderId="3" xfId="0" applyFont="1" applyBorder="1" applyAlignment="1">
      <alignment wrapText="1"/>
    </xf>
    <xf numFmtId="0" fontId="5" fillId="5" borderId="0" xfId="0" applyFont="1" applyFill="1" applyAlignment="1">
      <alignment horizontal="center" vertical="center" wrapText="1"/>
    </xf>
    <xf numFmtId="0" fontId="12" fillId="9" borderId="9" xfId="0" applyFont="1" applyFill="1" applyBorder="1"/>
    <xf numFmtId="0" fontId="13" fillId="10" borderId="9" xfId="0" applyFont="1" applyFill="1" applyBorder="1"/>
    <xf numFmtId="0" fontId="8" fillId="0" borderId="9" xfId="0" applyFont="1" applyBorder="1" applyAlignment="1">
      <alignment vertical="top" wrapText="1"/>
    </xf>
    <xf numFmtId="0" fontId="10" fillId="8" borderId="0" xfId="0" applyFont="1" applyFill="1"/>
    <xf numFmtId="0" fontId="8" fillId="0" borderId="11" xfId="0" applyFont="1" applyBorder="1" applyAlignment="1">
      <alignment vertical="top" wrapText="1"/>
    </xf>
    <xf numFmtId="0" fontId="14" fillId="11" borderId="9" xfId="0" applyFont="1" applyFill="1" applyBorder="1"/>
    <xf numFmtId="0" fontId="15" fillId="12" borderId="9" xfId="0" applyFont="1" applyFill="1" applyBorder="1"/>
    <xf numFmtId="0" fontId="8" fillId="0" borderId="10" xfId="0" applyFont="1" applyBorder="1" applyAlignment="1">
      <alignment vertical="top" wrapText="1"/>
    </xf>
    <xf numFmtId="0" fontId="16" fillId="13" borderId="9" xfId="0" applyFont="1" applyFill="1" applyBorder="1"/>
    <xf numFmtId="0" fontId="12" fillId="9" borderId="0" xfId="0" applyFont="1" applyFill="1"/>
    <xf numFmtId="0" fontId="12" fillId="9" borderId="0" xfId="0" applyFont="1" applyFill="1" applyAlignment="1">
      <alignment vertical="top" wrapText="1"/>
    </xf>
    <xf numFmtId="0" fontId="18" fillId="9" borderId="0" xfId="0" applyFont="1" applyFill="1" applyAlignment="1">
      <alignment vertical="top" wrapText="1"/>
    </xf>
    <xf numFmtId="0" fontId="13" fillId="10" borderId="0" xfId="0" applyFont="1" applyFill="1"/>
    <xf numFmtId="0" fontId="14" fillId="11" borderId="0" xfId="0" applyFont="1" applyFill="1"/>
    <xf numFmtId="0" fontId="13" fillId="10" borderId="0" xfId="0" applyFont="1" applyFill="1" applyAlignment="1">
      <alignment vertical="top" wrapText="1"/>
    </xf>
    <xf numFmtId="0" fontId="19" fillId="10" borderId="0" xfId="0" applyFont="1" applyFill="1" applyAlignment="1">
      <alignment vertical="top" wrapText="1"/>
    </xf>
    <xf numFmtId="0" fontId="15" fillId="12" borderId="0" xfId="0" applyFont="1" applyFill="1"/>
    <xf numFmtId="0" fontId="16" fillId="13" borderId="0" xfId="0" applyFont="1" applyFill="1"/>
    <xf numFmtId="0" fontId="14" fillId="11" borderId="0" xfId="0" applyFont="1" applyFill="1" applyAlignment="1">
      <alignment vertical="top" wrapText="1"/>
    </xf>
    <xf numFmtId="0" fontId="20" fillId="11" borderId="0" xfId="0" applyFont="1" applyFill="1" applyAlignment="1">
      <alignment vertical="top" wrapText="1"/>
    </xf>
    <xf numFmtId="0" fontId="15" fillId="12" borderId="0" xfId="0" applyFont="1" applyFill="1" applyAlignment="1">
      <alignment vertical="top" wrapText="1"/>
    </xf>
    <xf numFmtId="0" fontId="21" fillId="12" borderId="0" xfId="0" applyFont="1" applyFill="1" applyAlignment="1">
      <alignment vertical="top" wrapText="1"/>
    </xf>
    <xf numFmtId="0" fontId="16" fillId="13" borderId="0" xfId="0" applyFont="1" applyFill="1" applyAlignment="1">
      <alignment vertical="top" wrapText="1"/>
    </xf>
    <xf numFmtId="0" fontId="22" fillId="13" borderId="0" xfId="0" applyFont="1" applyFill="1" applyAlignment="1">
      <alignment vertical="top" wrapText="1"/>
    </xf>
    <xf numFmtId="0" fontId="16" fillId="13" borderId="5" xfId="0" applyFont="1" applyFill="1" applyBorder="1" applyAlignment="1">
      <alignment vertical="top" wrapText="1"/>
    </xf>
    <xf numFmtId="0" fontId="22" fillId="13" borderId="5" xfId="0" applyFont="1" applyFill="1" applyBorder="1" applyAlignment="1">
      <alignment vertical="top" wrapText="1"/>
    </xf>
    <xf numFmtId="0" fontId="7" fillId="7" borderId="5" xfId="0" applyFont="1" applyFill="1" applyBorder="1" applyAlignment="1">
      <alignment vertical="top" wrapText="1"/>
    </xf>
    <xf numFmtId="0" fontId="7" fillId="7" borderId="6" xfId="0" applyFont="1" applyFill="1" applyBorder="1" applyAlignment="1">
      <alignment vertical="top" wrapText="1"/>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3" fillId="3" borderId="0" xfId="0" applyFont="1" applyFill="1" applyAlignment="1">
      <alignment vertical="top" wrapText="1"/>
    </xf>
    <xf numFmtId="0" fontId="0" fillId="0" borderId="0" xfId="0"/>
    <xf numFmtId="0" fontId="6" fillId="6" borderId="0" xfId="0" applyFont="1" applyFill="1" applyAlignment="1">
      <alignment vertical="center"/>
    </xf>
    <xf numFmtId="0" fontId="7" fillId="7" borderId="0" xfId="0" applyFont="1" applyFill="1" applyAlignment="1">
      <alignment vertical="top" wrapText="1"/>
    </xf>
    <xf numFmtId="0" fontId="17" fillId="0" borderId="0" xfId="0" applyFont="1" applyAlignment="1">
      <alignment horizontal="center"/>
    </xf>
    <xf numFmtId="0" fontId="5" fillId="5" borderId="0" xfId="0" applyFont="1" applyFill="1" applyAlignment="1">
      <alignment horizontal="center" vertical="center" wrapText="1"/>
    </xf>
    <xf numFmtId="0" fontId="1" fillId="2" borderId="0" xfId="0" applyFont="1" applyFill="1" applyAlignment="1">
      <alignment horizontal="center" vertical="center"/>
    </xf>
    <xf numFmtId="0" fontId="9" fillId="0" borderId="0" xfId="0" applyFont="1"/>
    <xf numFmtId="0" fontId="0" fillId="0" borderId="0" xfId="0" applyAlignment="1">
      <alignment vertical="top" wrapText="1"/>
    </xf>
  </cellXfs>
  <cellStyles count="1">
    <cellStyle name="標準" xfId="0" builtinId="0"/>
  </cellStyles>
  <dxfs count="5">
    <dxf>
      <font>
        <color rgb="FF64748B"/>
      </font>
      <fill>
        <patternFill patternType="solid">
          <fgColor rgb="FFF1F5F9"/>
          <bgColor rgb="FFF1F5F9"/>
        </patternFill>
      </fill>
    </dxf>
    <dxf>
      <font>
        <color rgb="FF92400E"/>
      </font>
      <fill>
        <patternFill patternType="solid">
          <fgColor rgb="FFFEF3C7"/>
          <bgColor rgb="FFFEF3C7"/>
        </patternFill>
      </fill>
    </dxf>
    <dxf>
      <font>
        <b/>
        <color rgb="FF166534"/>
      </font>
      <fill>
        <patternFill patternType="solid">
          <fgColor rgb="FFBBF7D0"/>
          <bgColor rgb="FFBBF7D0"/>
        </patternFill>
      </fill>
    </dxf>
    <dxf>
      <font>
        <b/>
        <color rgb="FF92400E"/>
      </font>
      <fill>
        <patternFill patternType="solid">
          <fgColor rgb="FFFEF3C7"/>
          <bgColor rgb="FFFEF3C7"/>
        </patternFill>
      </fill>
    </dxf>
    <dxf>
      <font>
        <b/>
        <color rgb="FF166534"/>
      </font>
      <fill>
        <patternFill patternType="solid">
          <fgColor rgb="FFDCFCE7"/>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1</xdr:col>
      <xdr:colOff>800100</xdr:colOff>
      <xdr:row>31</xdr:row>
      <xdr:rowOff>19050</xdr:rowOff>
    </xdr:from>
    <xdr:ext cx="3819525" cy="2085975"/>
    <xdr:grpSp>
      <xdr:nvGrpSpPr>
        <xdr:cNvPr id="2" name="Shape 2" title="図形描画">
          <a:extLst>
            <a:ext uri="{FF2B5EF4-FFF2-40B4-BE49-F238E27FC236}">
              <a16:creationId xmlns:a16="http://schemas.microsoft.com/office/drawing/2014/main" id="{00000000-0008-0000-0300-000002000000}"/>
            </a:ext>
          </a:extLst>
        </xdr:cNvPr>
        <xdr:cNvGrpSpPr/>
      </xdr:nvGrpSpPr>
      <xdr:grpSpPr>
        <a:xfrm>
          <a:off x="2308860" y="6511290"/>
          <a:ext cx="3819525" cy="2085975"/>
          <a:chOff x="1961175" y="570475"/>
          <a:chExt cx="5662225" cy="3065700"/>
        </a:xfrm>
      </xdr:grpSpPr>
      <xdr:sp macro="" textlink="">
        <xdr:nvSpPr>
          <xdr:cNvPr id="3" name="Shape 3">
            <a:extLst>
              <a:ext uri="{FF2B5EF4-FFF2-40B4-BE49-F238E27FC236}">
                <a16:creationId xmlns:a16="http://schemas.microsoft.com/office/drawing/2014/main" id="{00000000-0008-0000-0300-000003000000}"/>
              </a:ext>
            </a:extLst>
          </xdr:cNvPr>
          <xdr:cNvSpPr/>
        </xdr:nvSpPr>
        <xdr:spPr>
          <a:xfrm>
            <a:off x="1961175" y="570475"/>
            <a:ext cx="4781100" cy="30657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300-000004000000}"/>
              </a:ext>
            </a:extLst>
          </xdr:cNvPr>
          <xdr:cNvSpPr txBox="1"/>
        </xdr:nvSpPr>
        <xdr:spPr>
          <a:xfrm>
            <a:off x="2884900" y="1930725"/>
            <a:ext cx="4738500" cy="400200"/>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実行</a:t>
            </a:r>
            <a:endParaRPr sz="1400"/>
          </a:p>
        </xdr:txBody>
      </xdr: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C78DA4-E2BA-41D1-B4BE-D45EB11CC323}">
  <we:reference id="wa200010215" version="2.0.0.1" store="ja-JP" storeType="OMEX"/>
  <we:alternateReferences>
    <we:reference id="wa200010215" version="2.0.0.1" store="WA200010215" storeType="OMEX"/>
  </we:alternateReferences>
  <we:properties>
    <we:property name="bps.codex_control.document_id" value="&quot;bd33a838-525c-42ef-931b-978069a79f1d&quot;"/>
  </we:properties>
  <we:bindings/>
  <we:snapshot xmlns:r="http://schemas.openxmlformats.org/officeDocument/2006/relationships"/>
</we:webextension>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tabSelected="1" workbookViewId="0">
      <pane ySplit="3" topLeftCell="A4" activePane="bottomLeft" state="frozen"/>
      <selection pane="bottomLeft" activeCell="D15" sqref="D15"/>
    </sheetView>
  </sheetViews>
  <sheetFormatPr defaultColWidth="12.6640625" defaultRowHeight="15" customHeight="1"/>
  <cols>
    <col min="1" max="1" width="18" customWidth="1"/>
    <col min="2" max="2" width="26" customWidth="1"/>
    <col min="3" max="3" width="18" customWidth="1"/>
    <col min="4" max="4" width="26" customWidth="1"/>
    <col min="5" max="5" width="18" customWidth="1"/>
    <col min="6" max="6" width="26" customWidth="1"/>
    <col min="7" max="7" width="18" customWidth="1"/>
    <col min="8" max="8" width="26" customWidth="1"/>
    <col min="9" max="26" width="8.6640625" customWidth="1"/>
  </cols>
  <sheetData>
    <row r="1" spans="1:8" ht="13.2">
      <c r="A1" s="53" t="s">
        <v>1</v>
      </c>
      <c r="B1" s="54"/>
      <c r="C1" s="54"/>
      <c r="D1" s="54"/>
      <c r="E1" s="54"/>
      <c r="F1" s="54"/>
      <c r="G1" s="54"/>
      <c r="H1" s="55"/>
    </row>
    <row r="2" spans="1:8" ht="13.2">
      <c r="A2" s="56"/>
      <c r="B2" s="57"/>
      <c r="C2" s="57"/>
      <c r="D2" s="57"/>
      <c r="E2" s="57"/>
      <c r="F2" s="57"/>
      <c r="G2" s="57"/>
      <c r="H2" s="58"/>
    </row>
    <row r="3" spans="1:8" ht="13.2">
      <c r="A3" s="59" t="s">
        <v>8</v>
      </c>
      <c r="B3" s="60"/>
      <c r="C3" s="60"/>
      <c r="D3" s="60"/>
      <c r="E3" s="60"/>
      <c r="F3" s="60"/>
      <c r="G3" s="60"/>
      <c r="H3" s="60"/>
    </row>
    <row r="5" spans="1:8" ht="14.4">
      <c r="A5" s="61" t="s">
        <v>9</v>
      </c>
      <c r="B5" s="60"/>
      <c r="C5" s="60"/>
      <c r="D5" s="60"/>
      <c r="E5" s="60"/>
      <c r="F5" s="60"/>
      <c r="G5" s="60"/>
      <c r="H5" s="60"/>
    </row>
    <row r="6" spans="1:8" ht="13.2">
      <c r="A6" s="1" t="s">
        <v>5</v>
      </c>
      <c r="B6" s="5" t="s">
        <v>15</v>
      </c>
      <c r="C6" s="1"/>
      <c r="D6" s="5"/>
      <c r="E6" s="1" t="s">
        <v>21</v>
      </c>
      <c r="F6" s="5" t="s">
        <v>164</v>
      </c>
      <c r="G6" s="1" t="s">
        <v>23</v>
      </c>
      <c r="H6" s="5" t="s">
        <v>89</v>
      </c>
    </row>
    <row r="7" spans="1:8" ht="13.2">
      <c r="A7" s="1" t="s">
        <v>29</v>
      </c>
      <c r="B7" s="5" t="s">
        <v>34</v>
      </c>
      <c r="C7" s="1" t="s">
        <v>35</v>
      </c>
      <c r="D7" s="5" t="s">
        <v>79</v>
      </c>
      <c r="E7" s="1"/>
      <c r="F7" s="5" t="s">
        <v>41</v>
      </c>
      <c r="G7" s="1"/>
      <c r="H7" s="12"/>
    </row>
    <row r="9" spans="1:8" ht="14.4">
      <c r="A9" s="61" t="s">
        <v>49</v>
      </c>
      <c r="B9" s="60"/>
      <c r="C9" s="60"/>
      <c r="D9" s="60"/>
      <c r="E9" s="60"/>
      <c r="F9" s="60"/>
      <c r="G9" s="60"/>
      <c r="H9" s="60"/>
    </row>
    <row r="10" spans="1:8" ht="48" customHeight="1">
      <c r="A10" s="1" t="s">
        <v>51</v>
      </c>
      <c r="B10" s="62" t="s">
        <v>165</v>
      </c>
      <c r="C10" s="1" t="s">
        <v>55</v>
      </c>
      <c r="D10" s="62" t="s">
        <v>166</v>
      </c>
      <c r="E10" s="1" t="s">
        <v>56</v>
      </c>
      <c r="F10" s="62" t="s">
        <v>167</v>
      </c>
      <c r="G10" s="1" t="s">
        <v>58</v>
      </c>
      <c r="H10" s="62" t="s">
        <v>168</v>
      </c>
    </row>
    <row r="11" spans="1:8" ht="214.95" customHeight="1">
      <c r="B11" s="60"/>
      <c r="D11" s="60"/>
      <c r="F11" s="60"/>
      <c r="H11" s="60"/>
    </row>
    <row r="12" spans="1:8" ht="16.05" customHeight="1"/>
    <row r="13" spans="1:8" ht="48" customHeight="1">
      <c r="A13" s="1" t="s">
        <v>61</v>
      </c>
      <c r="B13" s="62" t="s">
        <v>169</v>
      </c>
      <c r="C13" s="1" t="s">
        <v>62</v>
      </c>
      <c r="D13" s="62" t="s">
        <v>170</v>
      </c>
      <c r="E13" s="1" t="s">
        <v>64</v>
      </c>
      <c r="F13" s="62" t="s">
        <v>171</v>
      </c>
      <c r="G13" s="1" t="s">
        <v>67</v>
      </c>
      <c r="H13" s="62" t="s">
        <v>172</v>
      </c>
    </row>
    <row r="14" spans="1:8" ht="168" customHeight="1">
      <c r="B14" s="60"/>
      <c r="D14" s="60"/>
      <c r="F14" s="60"/>
      <c r="H14" s="60"/>
    </row>
    <row r="15" spans="1:8" ht="16.05" customHeight="1"/>
    <row r="16" spans="1:8" ht="14.4">
      <c r="A16" s="61" t="s">
        <v>70</v>
      </c>
      <c r="B16" s="60"/>
      <c r="C16" s="60"/>
      <c r="D16" s="60"/>
      <c r="E16" s="60"/>
      <c r="F16" s="60"/>
      <c r="G16" s="60"/>
      <c r="H16" s="60"/>
    </row>
    <row r="17" spans="1:8" ht="13.2">
      <c r="A17" s="24" t="s">
        <v>13</v>
      </c>
      <c r="B17" s="24" t="s">
        <v>76</v>
      </c>
      <c r="C17" s="24" t="s">
        <v>77</v>
      </c>
      <c r="D17" s="24" t="s">
        <v>80</v>
      </c>
      <c r="F17" s="64" t="s">
        <v>81</v>
      </c>
      <c r="G17" s="60"/>
      <c r="H17" s="60"/>
    </row>
    <row r="18" spans="1:8" ht="13.2">
      <c r="A18" s="28" t="s">
        <v>48</v>
      </c>
      <c r="B18" s="8">
        <f>COUNTIFS('02_技術選択'!$A:$A,"採用",'02_技術選択'!$C:$C,A18)</f>
        <v>0</v>
      </c>
      <c r="C18" s="8" t="str">
        <f t="shared" ref="C18:C23" si="0">IF($H$6=A18,"主分野",IF(OR($B$7=A18,$D$7=A18),"補助分野",""))</f>
        <v/>
      </c>
      <c r="D18" s="5"/>
      <c r="F18" s="1" t="s">
        <v>111</v>
      </c>
      <c r="G18" s="63" t="str">
        <f>IF($H$6&lt;&gt;"","OK","未入力")</f>
        <v>OK</v>
      </c>
      <c r="H18" s="60"/>
    </row>
    <row r="19" spans="1:8" ht="26.4">
      <c r="A19" s="34" t="s">
        <v>34</v>
      </c>
      <c r="B19" s="8">
        <f>COUNTIFS('02_技術選択'!$A:$A,"採用",'02_技術選択'!$C:$C,A19)</f>
        <v>3</v>
      </c>
      <c r="C19" s="8" t="str">
        <f t="shared" si="0"/>
        <v>補助分野</v>
      </c>
      <c r="D19" s="5"/>
      <c r="F19" s="1" t="s">
        <v>118</v>
      </c>
      <c r="G19" s="63" t="str">
        <f>IF(COUNTIFS('02_技術選択'!$A:$A,"採用",'02_技術選択'!$C:$C,$H$6)&gt;=1,"OK","要確認")</f>
        <v>OK</v>
      </c>
      <c r="H19" s="60"/>
    </row>
    <row r="20" spans="1:8" ht="13.2">
      <c r="A20" s="37" t="s">
        <v>79</v>
      </c>
      <c r="B20" s="8">
        <f>COUNTIFS('02_技術選択'!$A:$A,"採用",'02_技術選択'!$C:$C,A20)</f>
        <v>3</v>
      </c>
      <c r="C20" s="8" t="str">
        <f t="shared" si="0"/>
        <v>補助分野</v>
      </c>
      <c r="D20" s="5"/>
      <c r="F20" s="1" t="s">
        <v>126</v>
      </c>
      <c r="G20" s="63" t="str">
        <f>IF(LEN($F$10)&gt;5,"OK","要確認")</f>
        <v>OK</v>
      </c>
      <c r="H20" s="60"/>
    </row>
    <row r="21" spans="1:8" ht="15.75" customHeight="1">
      <c r="A21" s="38" t="s">
        <v>28</v>
      </c>
      <c r="B21" s="8">
        <f>COUNTIFS('02_技術選択'!$A:$A,"採用",'02_技術選択'!$C:$C,A21)</f>
        <v>0</v>
      </c>
      <c r="C21" s="8" t="str">
        <f t="shared" si="0"/>
        <v/>
      </c>
      <c r="D21" s="5"/>
      <c r="F21" s="1" t="s">
        <v>132</v>
      </c>
      <c r="G21" s="63" t="str">
        <f>IF(LEN($B$13)&gt;3,"OK","要確認")</f>
        <v>OK</v>
      </c>
      <c r="H21" s="60"/>
    </row>
    <row r="22" spans="1:8" ht="15.75" customHeight="1">
      <c r="A22" s="41" t="s">
        <v>89</v>
      </c>
      <c r="B22" s="8">
        <f>COUNTIFS('02_技術選択'!$A:$A,"採用",'02_技術選択'!$C:$C,A22)</f>
        <v>5</v>
      </c>
      <c r="C22" s="8" t="str">
        <f t="shared" si="0"/>
        <v>主分野</v>
      </c>
      <c r="D22" s="5"/>
      <c r="F22" s="1" t="s">
        <v>135</v>
      </c>
      <c r="G22" s="63" t="str">
        <f>IF(LEN($D$13)&gt;3,"OK","要確認")</f>
        <v>OK</v>
      </c>
      <c r="H22" s="60"/>
    </row>
    <row r="23" spans="1:8" ht="15.75" customHeight="1">
      <c r="A23" s="42" t="s">
        <v>38</v>
      </c>
      <c r="B23" s="8">
        <f>COUNTIFS('02_技術選択'!$A:$A,"採用",'02_技術選択'!$C:$C,A23)</f>
        <v>4</v>
      </c>
      <c r="C23" s="8" t="str">
        <f t="shared" si="0"/>
        <v/>
      </c>
      <c r="D23" s="5"/>
      <c r="F23" s="1" t="s">
        <v>139</v>
      </c>
      <c r="G23" s="63" t="str">
        <f>IF(LEN($H$13)&gt;3,"OK","要確認")</f>
        <v>OK</v>
      </c>
      <c r="H23" s="60"/>
    </row>
    <row r="24" spans="1:8" ht="15.75" customHeight="1"/>
    <row r="25" spans="1:8" ht="15.75" customHeight="1"/>
    <row r="26" spans="1:8" ht="15.75" customHeight="1"/>
    <row r="27" spans="1:8" ht="15.75" customHeight="1"/>
    <row r="28" spans="1:8" ht="15.75" customHeight="1"/>
    <row r="29" spans="1:8" ht="15.75" customHeight="1"/>
    <row r="30" spans="1:8" ht="15.75" customHeight="1"/>
    <row r="31" spans="1:8" ht="15.75" customHeight="1"/>
    <row r="32" spans="1:8"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G23:H23"/>
    <mergeCell ref="B10:B11"/>
    <mergeCell ref="B13:B14"/>
    <mergeCell ref="D13:D14"/>
    <mergeCell ref="F13:F14"/>
    <mergeCell ref="H13:H14"/>
    <mergeCell ref="A16:H16"/>
    <mergeCell ref="F17:H17"/>
    <mergeCell ref="G18:H18"/>
    <mergeCell ref="G19:H19"/>
    <mergeCell ref="G20:H20"/>
    <mergeCell ref="G21:H21"/>
    <mergeCell ref="G22:H22"/>
    <mergeCell ref="A1:H2"/>
    <mergeCell ref="A3:H3"/>
    <mergeCell ref="A5:H5"/>
    <mergeCell ref="A9:H9"/>
    <mergeCell ref="D10:D11"/>
    <mergeCell ref="F10:F11"/>
    <mergeCell ref="H10:H11"/>
  </mergeCells>
  <phoneticPr fontId="23"/>
  <conditionalFormatting sqref="G18:H23">
    <cfRule type="expression" dxfId="4" priority="1">
      <formula>G18="OK"</formula>
    </cfRule>
    <cfRule type="expression" dxfId="3" priority="2">
      <formula>OR(G18="要確認",G18="未入力")</formula>
    </cfRule>
  </conditionalFormatting>
  <dataValidations count="2">
    <dataValidation type="list" allowBlank="1" sqref="H6 B7 D7" xr:uid="{00000000-0002-0000-0000-000000000000}">
      <formula1>"ゲームAIの作り方,認識を作る,身体を作る,学習を作る,協調を作る,知能を作る"</formula1>
    </dataValidation>
    <dataValidation type="list" allowBlank="1" sqref="F7" xr:uid="{00000000-0002-0000-0000-000001000000}">
      <formula1>"個人,チーム"</formula1>
    </dataValidation>
  </dataValidation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workbookViewId="0">
      <pane xSplit="5" ySplit="5" topLeftCell="F6" activePane="bottomRight" state="frozen"/>
      <selection pane="topRight" activeCell="F1" sqref="F1"/>
      <selection pane="bottomLeft" activeCell="A6" sqref="A6"/>
      <selection pane="bottomRight" activeCell="D52" sqref="D52"/>
    </sheetView>
  </sheetViews>
  <sheetFormatPr defaultColWidth="12.6640625" defaultRowHeight="15" customHeight="1"/>
  <cols>
    <col min="1" max="1" width="11" customWidth="1"/>
    <col min="2" max="2" width="10" customWidth="1"/>
    <col min="3" max="3" width="18" customWidth="1"/>
    <col min="4" max="4" width="36" customWidth="1"/>
    <col min="5" max="5" width="8" customWidth="1"/>
    <col min="6" max="6" width="40.21875" bestFit="1" customWidth="1"/>
    <col min="7" max="7" width="34" customWidth="1"/>
    <col min="8" max="9" width="28" customWidth="1"/>
    <col min="10" max="10" width="20" customWidth="1"/>
    <col min="11" max="26" width="8.6640625" customWidth="1"/>
  </cols>
  <sheetData>
    <row r="1" spans="1:10" ht="13.2">
      <c r="A1" s="65" t="s">
        <v>2</v>
      </c>
      <c r="B1" s="60"/>
      <c r="C1" s="60"/>
      <c r="D1" s="60"/>
      <c r="E1" s="60"/>
      <c r="F1" s="60"/>
      <c r="G1" s="60"/>
      <c r="H1" s="60"/>
      <c r="I1" s="60"/>
      <c r="J1" s="60"/>
    </row>
    <row r="2" spans="1:10" ht="15" customHeight="1">
      <c r="A2" s="60"/>
      <c r="B2" s="60"/>
      <c r="C2" s="60"/>
      <c r="D2" s="60"/>
      <c r="E2" s="60"/>
      <c r="F2" s="60"/>
      <c r="G2" s="60"/>
      <c r="H2" s="60"/>
      <c r="I2" s="60"/>
      <c r="J2" s="60"/>
    </row>
    <row r="3" spans="1:10" ht="13.2">
      <c r="A3" s="59" t="s">
        <v>4</v>
      </c>
      <c r="B3" s="60"/>
      <c r="C3" s="60"/>
      <c r="D3" s="60"/>
      <c r="E3" s="60"/>
      <c r="F3" s="60"/>
      <c r="G3" s="60"/>
      <c r="H3" s="60"/>
      <c r="I3" s="60"/>
      <c r="J3" s="60"/>
    </row>
    <row r="5" spans="1:10" ht="13.2">
      <c r="A5" s="2" t="s">
        <v>7</v>
      </c>
      <c r="B5" s="4" t="s">
        <v>11</v>
      </c>
      <c r="C5" s="4" t="s">
        <v>13</v>
      </c>
      <c r="D5" s="4" t="s">
        <v>14</v>
      </c>
      <c r="E5" s="4" t="s">
        <v>16</v>
      </c>
      <c r="F5" s="4" t="s">
        <v>17</v>
      </c>
      <c r="G5" s="4" t="s">
        <v>18</v>
      </c>
      <c r="H5" s="4" t="s">
        <v>20</v>
      </c>
      <c r="I5" s="4" t="s">
        <v>22</v>
      </c>
      <c r="J5" s="6" t="s">
        <v>25</v>
      </c>
    </row>
    <row r="6" spans="1:10" ht="13.2">
      <c r="A6" s="11" t="s">
        <v>33</v>
      </c>
      <c r="B6" s="13" t="s">
        <v>44</v>
      </c>
      <c r="C6" s="14" t="s">
        <v>48</v>
      </c>
      <c r="D6" s="17" t="s">
        <v>54</v>
      </c>
      <c r="E6" s="17" t="s">
        <v>57</v>
      </c>
      <c r="F6" s="5"/>
      <c r="G6" s="5"/>
      <c r="H6" s="5"/>
      <c r="I6" s="5"/>
      <c r="J6" s="20"/>
    </row>
    <row r="7" spans="1:10" ht="13.2">
      <c r="A7" s="11" t="s">
        <v>33</v>
      </c>
      <c r="B7" s="13" t="s">
        <v>44</v>
      </c>
      <c r="C7" s="14" t="s">
        <v>48</v>
      </c>
      <c r="D7" s="17" t="s">
        <v>68</v>
      </c>
      <c r="E7" s="17" t="s">
        <v>57</v>
      </c>
      <c r="F7" s="5"/>
      <c r="G7" s="5"/>
      <c r="H7" s="5"/>
      <c r="I7" s="5"/>
      <c r="J7" s="20"/>
    </row>
    <row r="8" spans="1:10" ht="13.2">
      <c r="A8" s="11" t="s">
        <v>33</v>
      </c>
      <c r="B8" s="13" t="s">
        <v>44</v>
      </c>
      <c r="C8" s="14" t="s">
        <v>48</v>
      </c>
      <c r="D8" s="17" t="s">
        <v>78</v>
      </c>
      <c r="E8" s="17" t="s">
        <v>57</v>
      </c>
      <c r="F8" s="5"/>
      <c r="G8" s="5"/>
      <c r="H8" s="5"/>
      <c r="I8" s="5"/>
      <c r="J8" s="20"/>
    </row>
    <row r="9" spans="1:10" ht="13.2">
      <c r="A9" s="11" t="s">
        <v>33</v>
      </c>
      <c r="B9" s="13" t="s">
        <v>44</v>
      </c>
      <c r="C9" s="14" t="s">
        <v>48</v>
      </c>
      <c r="D9" s="17" t="s">
        <v>86</v>
      </c>
      <c r="E9" s="17" t="s">
        <v>85</v>
      </c>
      <c r="F9" s="5"/>
      <c r="G9" s="5"/>
      <c r="H9" s="5"/>
      <c r="I9" s="5"/>
      <c r="J9" s="20"/>
    </row>
    <row r="10" spans="1:10" ht="13.2">
      <c r="A10" s="11" t="s">
        <v>33</v>
      </c>
      <c r="B10" s="13" t="s">
        <v>44</v>
      </c>
      <c r="C10" s="14" t="s">
        <v>48</v>
      </c>
      <c r="D10" s="17" t="s">
        <v>93</v>
      </c>
      <c r="E10" s="17" t="s">
        <v>85</v>
      </c>
      <c r="F10" s="5"/>
      <c r="G10" s="5"/>
      <c r="H10" s="5"/>
      <c r="I10" s="5"/>
      <c r="J10" s="20"/>
    </row>
    <row r="11" spans="1:10" ht="13.2">
      <c r="A11" s="11" t="s">
        <v>33</v>
      </c>
      <c r="B11" s="13" t="s">
        <v>44</v>
      </c>
      <c r="C11" s="14" t="s">
        <v>48</v>
      </c>
      <c r="D11" s="17" t="s">
        <v>100</v>
      </c>
      <c r="E11" s="17" t="s">
        <v>101</v>
      </c>
      <c r="F11" s="5"/>
      <c r="G11" s="5"/>
      <c r="H11" s="5"/>
      <c r="I11" s="5"/>
      <c r="J11" s="20"/>
    </row>
    <row r="12" spans="1:10" ht="13.2">
      <c r="A12" s="11" t="s">
        <v>33</v>
      </c>
      <c r="B12" s="13" t="s">
        <v>44</v>
      </c>
      <c r="C12" s="14" t="s">
        <v>48</v>
      </c>
      <c r="D12" s="17" t="s">
        <v>105</v>
      </c>
      <c r="E12" s="17" t="s">
        <v>85</v>
      </c>
      <c r="F12" s="5"/>
      <c r="G12" s="5"/>
      <c r="H12" s="5"/>
      <c r="I12" s="5"/>
      <c r="J12" s="20"/>
    </row>
    <row r="13" spans="1:10" ht="13.2">
      <c r="A13" s="11" t="s">
        <v>33</v>
      </c>
      <c r="B13" s="13" t="s">
        <v>44</v>
      </c>
      <c r="C13" s="14" t="s">
        <v>48</v>
      </c>
      <c r="D13" s="17" t="s">
        <v>109</v>
      </c>
      <c r="E13" s="17" t="s">
        <v>101</v>
      </c>
      <c r="F13" s="5"/>
      <c r="G13" s="5"/>
      <c r="H13" s="5"/>
      <c r="I13" s="5"/>
      <c r="J13" s="20"/>
    </row>
    <row r="14" spans="1:10" ht="13.2">
      <c r="A14" s="11" t="s">
        <v>33</v>
      </c>
      <c r="B14" s="13" t="s">
        <v>44</v>
      </c>
      <c r="C14" s="14" t="s">
        <v>48</v>
      </c>
      <c r="D14" s="17" t="s">
        <v>112</v>
      </c>
      <c r="E14" s="17" t="s">
        <v>85</v>
      </c>
      <c r="F14" s="5"/>
      <c r="G14" s="5"/>
      <c r="H14" s="5"/>
      <c r="I14" s="5"/>
      <c r="J14" s="20"/>
    </row>
    <row r="15" spans="1:10" ht="13.2">
      <c r="A15" s="11" t="s">
        <v>33</v>
      </c>
      <c r="B15" s="13" t="s">
        <v>44</v>
      </c>
      <c r="C15" s="14" t="s">
        <v>48</v>
      </c>
      <c r="D15" s="17" t="s">
        <v>113</v>
      </c>
      <c r="E15" s="17" t="s">
        <v>101</v>
      </c>
      <c r="F15" s="5"/>
      <c r="G15" s="5"/>
      <c r="H15" s="5"/>
      <c r="I15" s="5"/>
      <c r="J15" s="20"/>
    </row>
    <row r="16" spans="1:10" ht="13.2">
      <c r="A16" s="11" t="s">
        <v>33</v>
      </c>
      <c r="B16" s="13" t="s">
        <v>44</v>
      </c>
      <c r="C16" s="35" t="s">
        <v>34</v>
      </c>
      <c r="D16" s="36" t="s">
        <v>84</v>
      </c>
      <c r="E16" s="36" t="s">
        <v>85</v>
      </c>
      <c r="F16" s="5"/>
      <c r="G16" s="5"/>
      <c r="H16" s="5"/>
      <c r="I16" s="5"/>
      <c r="J16" s="20"/>
    </row>
    <row r="17" spans="1:10" ht="66" customHeight="1">
      <c r="A17" s="11" t="s">
        <v>114</v>
      </c>
      <c r="B17" s="13" t="s">
        <v>115</v>
      </c>
      <c r="C17" s="35" t="s">
        <v>34</v>
      </c>
      <c r="D17" s="36" t="s">
        <v>92</v>
      </c>
      <c r="E17" s="36" t="s">
        <v>85</v>
      </c>
      <c r="F17" s="5" t="s">
        <v>173</v>
      </c>
      <c r="G17" s="5" t="s">
        <v>174</v>
      </c>
      <c r="H17" s="5" t="s">
        <v>175</v>
      </c>
      <c r="I17" s="5" t="s">
        <v>176</v>
      </c>
      <c r="J17" s="20" t="s">
        <v>177</v>
      </c>
    </row>
    <row r="18" spans="1:10" ht="26.4">
      <c r="A18" s="11" t="s">
        <v>33</v>
      </c>
      <c r="B18" s="13" t="s">
        <v>44</v>
      </c>
      <c r="C18" s="35" t="s">
        <v>34</v>
      </c>
      <c r="D18" s="36" t="s">
        <v>121</v>
      </c>
      <c r="E18" s="36" t="s">
        <v>101</v>
      </c>
      <c r="F18" s="5"/>
      <c r="G18" s="5"/>
      <c r="H18" s="5"/>
      <c r="I18" s="5"/>
      <c r="J18" s="20"/>
    </row>
    <row r="19" spans="1:10" ht="13.2">
      <c r="A19" s="11" t="s">
        <v>33</v>
      </c>
      <c r="B19" s="13" t="s">
        <v>44</v>
      </c>
      <c r="C19" s="35" t="s">
        <v>34</v>
      </c>
      <c r="D19" s="36" t="s">
        <v>94</v>
      </c>
      <c r="E19" s="36" t="s">
        <v>96</v>
      </c>
      <c r="F19" s="5"/>
      <c r="G19" s="5"/>
      <c r="H19" s="5"/>
      <c r="I19" s="5"/>
      <c r="J19" s="20"/>
    </row>
    <row r="20" spans="1:10" ht="13.2">
      <c r="A20" s="11" t="s">
        <v>33</v>
      </c>
      <c r="B20" s="13" t="s">
        <v>44</v>
      </c>
      <c r="C20" s="35" t="s">
        <v>34</v>
      </c>
      <c r="D20" s="36" t="s">
        <v>125</v>
      </c>
      <c r="E20" s="36" t="s">
        <v>96</v>
      </c>
      <c r="F20" s="5"/>
      <c r="G20" s="5"/>
      <c r="H20" s="5"/>
      <c r="I20" s="5"/>
      <c r="J20" s="20"/>
    </row>
    <row r="21" spans="1:10" ht="66" customHeight="1">
      <c r="A21" s="11" t="s">
        <v>114</v>
      </c>
      <c r="B21" s="13" t="s">
        <v>115</v>
      </c>
      <c r="C21" s="35" t="s">
        <v>34</v>
      </c>
      <c r="D21" s="36" t="s">
        <v>128</v>
      </c>
      <c r="E21" s="36" t="s">
        <v>96</v>
      </c>
      <c r="F21" s="5" t="s">
        <v>178</v>
      </c>
      <c r="G21" s="5" t="s">
        <v>179</v>
      </c>
      <c r="H21" s="5" t="s">
        <v>180</v>
      </c>
      <c r="I21" s="5" t="s">
        <v>181</v>
      </c>
      <c r="J21" s="20" t="s">
        <v>182</v>
      </c>
    </row>
    <row r="22" spans="1:10" ht="66" customHeight="1">
      <c r="A22" s="11" t="s">
        <v>114</v>
      </c>
      <c r="B22" s="13" t="s">
        <v>115</v>
      </c>
      <c r="C22" s="35" t="s">
        <v>34</v>
      </c>
      <c r="D22" s="36" t="s">
        <v>130</v>
      </c>
      <c r="E22" s="36" t="s">
        <v>103</v>
      </c>
      <c r="F22" s="5" t="s">
        <v>183</v>
      </c>
      <c r="G22" s="5" t="s">
        <v>250</v>
      </c>
      <c r="H22" s="5" t="s">
        <v>184</v>
      </c>
      <c r="I22" s="5" t="s">
        <v>185</v>
      </c>
      <c r="J22" s="20" t="s">
        <v>186</v>
      </c>
    </row>
    <row r="23" spans="1:10" ht="66" customHeight="1">
      <c r="A23" s="11" t="s">
        <v>114</v>
      </c>
      <c r="B23" s="13" t="s">
        <v>115</v>
      </c>
      <c r="C23" s="39" t="s">
        <v>79</v>
      </c>
      <c r="D23" s="40" t="s">
        <v>131</v>
      </c>
      <c r="E23" s="40" t="s">
        <v>99</v>
      </c>
      <c r="F23" s="5" t="s">
        <v>187</v>
      </c>
      <c r="G23" s="5" t="s">
        <v>188</v>
      </c>
      <c r="H23" s="5" t="s">
        <v>189</v>
      </c>
      <c r="I23" s="5" t="s">
        <v>190</v>
      </c>
      <c r="J23" s="20" t="s">
        <v>191</v>
      </c>
    </row>
    <row r="24" spans="1:10" ht="66" customHeight="1">
      <c r="A24" s="11" t="s">
        <v>114</v>
      </c>
      <c r="B24" s="13" t="s">
        <v>115</v>
      </c>
      <c r="C24" s="39" t="s">
        <v>79</v>
      </c>
      <c r="D24" s="40" t="s">
        <v>133</v>
      </c>
      <c r="E24" s="40" t="s">
        <v>99</v>
      </c>
      <c r="F24" s="5" t="s">
        <v>192</v>
      </c>
      <c r="G24" s="5" t="s">
        <v>193</v>
      </c>
      <c r="H24" s="5" t="s">
        <v>194</v>
      </c>
      <c r="I24" s="5" t="s">
        <v>195</v>
      </c>
      <c r="J24" s="20" t="s">
        <v>196</v>
      </c>
    </row>
    <row r="25" spans="1:10" ht="15.75" customHeight="1">
      <c r="A25" s="11" t="s">
        <v>33</v>
      </c>
      <c r="B25" s="13" t="s">
        <v>44</v>
      </c>
      <c r="C25" s="39" t="s">
        <v>79</v>
      </c>
      <c r="D25" s="40" t="s">
        <v>134</v>
      </c>
      <c r="E25" s="40" t="s">
        <v>99</v>
      </c>
      <c r="F25" s="5"/>
      <c r="G25" s="5"/>
      <c r="H25" s="5"/>
      <c r="I25" s="5"/>
      <c r="J25" s="20"/>
    </row>
    <row r="26" spans="1:10" ht="15.75" customHeight="1">
      <c r="A26" s="11" t="s">
        <v>33</v>
      </c>
      <c r="B26" s="13" t="s">
        <v>44</v>
      </c>
      <c r="C26" s="39" t="s">
        <v>79</v>
      </c>
      <c r="D26" s="40" t="s">
        <v>98</v>
      </c>
      <c r="E26" s="40" t="s">
        <v>99</v>
      </c>
      <c r="F26" s="5"/>
      <c r="G26" s="5"/>
      <c r="H26" s="5"/>
      <c r="I26" s="5"/>
      <c r="J26" s="20"/>
    </row>
    <row r="27" spans="1:10" ht="66" customHeight="1">
      <c r="A27" s="11" t="s">
        <v>114</v>
      </c>
      <c r="B27" s="13" t="s">
        <v>115</v>
      </c>
      <c r="C27" s="39" t="s">
        <v>79</v>
      </c>
      <c r="D27" s="40" t="s">
        <v>136</v>
      </c>
      <c r="E27" s="40" t="s">
        <v>99</v>
      </c>
      <c r="F27" s="5" t="s">
        <v>197</v>
      </c>
      <c r="G27" s="5" t="s">
        <v>198</v>
      </c>
      <c r="H27" s="5" t="s">
        <v>199</v>
      </c>
      <c r="I27" s="5" t="s">
        <v>200</v>
      </c>
      <c r="J27" s="20" t="s">
        <v>201</v>
      </c>
    </row>
    <row r="28" spans="1:10" ht="15.75" customHeight="1">
      <c r="A28" s="11" t="s">
        <v>33</v>
      </c>
      <c r="B28" s="13" t="s">
        <v>44</v>
      </c>
      <c r="C28" s="39" t="s">
        <v>79</v>
      </c>
      <c r="D28" s="40" t="s">
        <v>137</v>
      </c>
      <c r="E28" s="40" t="s">
        <v>99</v>
      </c>
      <c r="F28" s="5"/>
      <c r="G28" s="5"/>
      <c r="H28" s="5"/>
      <c r="I28" s="5"/>
      <c r="J28" s="20"/>
    </row>
    <row r="29" spans="1:10" ht="15.75" customHeight="1">
      <c r="A29" s="11" t="s">
        <v>33</v>
      </c>
      <c r="B29" s="13" t="s">
        <v>44</v>
      </c>
      <c r="C29" s="39" t="s">
        <v>79</v>
      </c>
      <c r="D29" s="40" t="s">
        <v>138</v>
      </c>
      <c r="E29" s="40" t="s">
        <v>99</v>
      </c>
      <c r="F29" s="5"/>
      <c r="G29" s="5"/>
      <c r="H29" s="5"/>
      <c r="I29" s="5"/>
      <c r="J29" s="20"/>
    </row>
    <row r="30" spans="1:10" ht="15.75" customHeight="1">
      <c r="A30" s="11" t="s">
        <v>33</v>
      </c>
      <c r="B30" s="13" t="s">
        <v>44</v>
      </c>
      <c r="C30" s="39" t="s">
        <v>79</v>
      </c>
      <c r="D30" s="40" t="s">
        <v>140</v>
      </c>
      <c r="E30" s="40" t="s">
        <v>141</v>
      </c>
      <c r="F30" s="5"/>
      <c r="G30" s="5"/>
      <c r="H30" s="5"/>
      <c r="I30" s="5"/>
      <c r="J30" s="20"/>
    </row>
    <row r="31" spans="1:10" ht="15.75" customHeight="1">
      <c r="A31" s="11" t="s">
        <v>33</v>
      </c>
      <c r="B31" s="13" t="s">
        <v>44</v>
      </c>
      <c r="C31" s="43" t="s">
        <v>28</v>
      </c>
      <c r="D31" s="44" t="s">
        <v>142</v>
      </c>
      <c r="E31" s="44" t="s">
        <v>103</v>
      </c>
      <c r="F31" s="5"/>
      <c r="G31" s="5"/>
      <c r="H31" s="5"/>
      <c r="I31" s="5"/>
      <c r="J31" s="20"/>
    </row>
    <row r="32" spans="1:10" ht="15.75" customHeight="1">
      <c r="A32" s="11" t="s">
        <v>33</v>
      </c>
      <c r="B32" s="13" t="s">
        <v>44</v>
      </c>
      <c r="C32" s="43" t="s">
        <v>28</v>
      </c>
      <c r="D32" s="44" t="s">
        <v>102</v>
      </c>
      <c r="E32" s="44" t="s">
        <v>103</v>
      </c>
      <c r="F32" s="5"/>
      <c r="G32" s="5"/>
      <c r="H32" s="5"/>
      <c r="I32" s="5"/>
      <c r="J32" s="20"/>
    </row>
    <row r="33" spans="1:10" ht="15.75" customHeight="1">
      <c r="A33" s="11" t="s">
        <v>33</v>
      </c>
      <c r="B33" s="13" t="s">
        <v>44</v>
      </c>
      <c r="C33" s="43" t="s">
        <v>28</v>
      </c>
      <c r="D33" s="44" t="s">
        <v>104</v>
      </c>
      <c r="E33" s="44" t="s">
        <v>96</v>
      </c>
      <c r="F33" s="5"/>
      <c r="G33" s="5"/>
      <c r="H33" s="5"/>
      <c r="I33" s="5"/>
      <c r="J33" s="20"/>
    </row>
    <row r="34" spans="1:10" ht="15.75" customHeight="1">
      <c r="A34" s="11" t="s">
        <v>33</v>
      </c>
      <c r="B34" s="13" t="s">
        <v>44</v>
      </c>
      <c r="C34" s="45" t="s">
        <v>89</v>
      </c>
      <c r="D34" s="46" t="s">
        <v>143</v>
      </c>
      <c r="E34" s="46" t="s">
        <v>141</v>
      </c>
      <c r="F34" s="5"/>
      <c r="G34" s="5"/>
      <c r="H34" s="5"/>
      <c r="I34" s="5"/>
      <c r="J34" s="20"/>
    </row>
    <row r="35" spans="1:10" ht="15.75" customHeight="1">
      <c r="A35" s="11" t="s">
        <v>33</v>
      </c>
      <c r="B35" s="13" t="s">
        <v>44</v>
      </c>
      <c r="C35" s="45" t="s">
        <v>89</v>
      </c>
      <c r="D35" s="46" t="s">
        <v>144</v>
      </c>
      <c r="E35" s="46" t="s">
        <v>145</v>
      </c>
      <c r="F35" s="5"/>
      <c r="G35" s="5"/>
      <c r="H35" s="5"/>
      <c r="I35" s="5"/>
      <c r="J35" s="20"/>
    </row>
    <row r="36" spans="1:10" ht="15.75" customHeight="1">
      <c r="A36" s="11" t="s">
        <v>33</v>
      </c>
      <c r="B36" s="13" t="s">
        <v>44</v>
      </c>
      <c r="C36" s="45" t="s">
        <v>89</v>
      </c>
      <c r="D36" s="46" t="s">
        <v>146</v>
      </c>
      <c r="E36" s="46" t="s">
        <v>145</v>
      </c>
      <c r="F36" s="5"/>
      <c r="G36" s="5"/>
      <c r="H36" s="5"/>
      <c r="I36" s="5"/>
      <c r="J36" s="20"/>
    </row>
    <row r="37" spans="1:10" ht="66" customHeight="1">
      <c r="A37" s="11" t="s">
        <v>114</v>
      </c>
      <c r="B37" s="13" t="s">
        <v>123</v>
      </c>
      <c r="C37" s="45" t="s">
        <v>89</v>
      </c>
      <c r="D37" s="46" t="s">
        <v>147</v>
      </c>
      <c r="E37" s="46" t="s">
        <v>145</v>
      </c>
      <c r="F37" s="5" t="s">
        <v>202</v>
      </c>
      <c r="G37" s="5" t="s">
        <v>203</v>
      </c>
      <c r="H37" s="5" t="s">
        <v>204</v>
      </c>
      <c r="I37" s="5" t="s">
        <v>205</v>
      </c>
      <c r="J37" s="20" t="s">
        <v>206</v>
      </c>
    </row>
    <row r="38" spans="1:10" ht="15.75" customHeight="1">
      <c r="A38" s="11" t="s">
        <v>33</v>
      </c>
      <c r="B38" s="13" t="s">
        <v>44</v>
      </c>
      <c r="C38" s="45" t="s">
        <v>89</v>
      </c>
      <c r="D38" s="46" t="s">
        <v>148</v>
      </c>
      <c r="E38" s="46" t="s">
        <v>145</v>
      </c>
      <c r="F38" s="5"/>
      <c r="G38" s="5"/>
      <c r="H38" s="5"/>
      <c r="I38" s="5"/>
      <c r="J38" s="20"/>
    </row>
    <row r="39" spans="1:10" ht="66" customHeight="1">
      <c r="A39" s="11" t="s">
        <v>114</v>
      </c>
      <c r="B39" s="13" t="s">
        <v>123</v>
      </c>
      <c r="C39" s="45" t="s">
        <v>89</v>
      </c>
      <c r="D39" s="46" t="s">
        <v>149</v>
      </c>
      <c r="E39" s="46" t="s">
        <v>145</v>
      </c>
      <c r="F39" s="5" t="s">
        <v>207</v>
      </c>
      <c r="G39" s="5" t="s">
        <v>208</v>
      </c>
      <c r="H39" s="5" t="s">
        <v>209</v>
      </c>
      <c r="I39" s="5" t="s">
        <v>210</v>
      </c>
      <c r="J39" s="20" t="s">
        <v>211</v>
      </c>
    </row>
    <row r="40" spans="1:10" ht="66" customHeight="1">
      <c r="A40" s="11" t="s">
        <v>114</v>
      </c>
      <c r="B40" s="13" t="s">
        <v>123</v>
      </c>
      <c r="C40" s="45" t="s">
        <v>89</v>
      </c>
      <c r="D40" s="46" t="s">
        <v>150</v>
      </c>
      <c r="E40" s="46" t="s">
        <v>145</v>
      </c>
      <c r="F40" s="5" t="s">
        <v>212</v>
      </c>
      <c r="G40" s="5" t="s">
        <v>213</v>
      </c>
      <c r="H40" s="5" t="s">
        <v>214</v>
      </c>
      <c r="I40" s="5" t="s">
        <v>215</v>
      </c>
      <c r="J40" s="20" t="s">
        <v>216</v>
      </c>
    </row>
    <row r="41" spans="1:10" ht="15.75" customHeight="1">
      <c r="A41" s="11" t="s">
        <v>33</v>
      </c>
      <c r="B41" s="13" t="s">
        <v>44</v>
      </c>
      <c r="C41" s="45" t="s">
        <v>89</v>
      </c>
      <c r="D41" s="46" t="s">
        <v>151</v>
      </c>
      <c r="E41" s="46" t="s">
        <v>103</v>
      </c>
      <c r="F41" s="5"/>
      <c r="G41" s="5"/>
      <c r="H41" s="5"/>
      <c r="I41" s="5"/>
      <c r="J41" s="20"/>
    </row>
    <row r="42" spans="1:10" ht="66" customHeight="1">
      <c r="A42" s="11" t="s">
        <v>114</v>
      </c>
      <c r="B42" s="13" t="s">
        <v>123</v>
      </c>
      <c r="C42" s="45" t="s">
        <v>89</v>
      </c>
      <c r="D42" s="46" t="s">
        <v>152</v>
      </c>
      <c r="E42" s="46" t="s">
        <v>96</v>
      </c>
      <c r="F42" s="5" t="s">
        <v>217</v>
      </c>
      <c r="G42" s="5" t="s">
        <v>218</v>
      </c>
      <c r="H42" s="5" t="s">
        <v>219</v>
      </c>
      <c r="I42" s="5" t="s">
        <v>220</v>
      </c>
      <c r="J42" s="20" t="s">
        <v>221</v>
      </c>
    </row>
    <row r="43" spans="1:10" ht="66" customHeight="1">
      <c r="A43" s="11" t="s">
        <v>114</v>
      </c>
      <c r="B43" s="13" t="s">
        <v>123</v>
      </c>
      <c r="C43" s="45" t="s">
        <v>89</v>
      </c>
      <c r="D43" s="46" t="s">
        <v>153</v>
      </c>
      <c r="E43" s="46" t="s">
        <v>85</v>
      </c>
      <c r="F43" s="5" t="s">
        <v>222</v>
      </c>
      <c r="G43" s="5" t="s">
        <v>223</v>
      </c>
      <c r="H43" s="5" t="s">
        <v>224</v>
      </c>
      <c r="I43" s="5" t="s">
        <v>225</v>
      </c>
      <c r="J43" s="20" t="s">
        <v>226</v>
      </c>
    </row>
    <row r="44" spans="1:10" ht="15.75" customHeight="1">
      <c r="A44" s="11" t="s">
        <v>33</v>
      </c>
      <c r="B44" s="13" t="s">
        <v>44</v>
      </c>
      <c r="C44" s="47" t="s">
        <v>38</v>
      </c>
      <c r="D44" s="48" t="s">
        <v>154</v>
      </c>
      <c r="E44" s="48" t="s">
        <v>101</v>
      </c>
      <c r="F44" s="5"/>
      <c r="G44" s="5"/>
      <c r="H44" s="5"/>
      <c r="I44" s="5"/>
      <c r="J44" s="20"/>
    </row>
    <row r="45" spans="1:10" ht="66" customHeight="1">
      <c r="A45" s="11" t="s">
        <v>114</v>
      </c>
      <c r="B45" s="13" t="s">
        <v>115</v>
      </c>
      <c r="C45" s="47" t="s">
        <v>38</v>
      </c>
      <c r="D45" s="48" t="s">
        <v>155</v>
      </c>
      <c r="E45" s="48" t="s">
        <v>101</v>
      </c>
      <c r="F45" s="5" t="s">
        <v>227</v>
      </c>
      <c r="G45" s="5" t="s">
        <v>228</v>
      </c>
      <c r="H45" s="5" t="s">
        <v>229</v>
      </c>
      <c r="I45" s="5" t="s">
        <v>230</v>
      </c>
      <c r="J45" s="20" t="s">
        <v>231</v>
      </c>
    </row>
    <row r="46" spans="1:10" ht="15.75" customHeight="1">
      <c r="A46" s="11" t="s">
        <v>33</v>
      </c>
      <c r="B46" s="13" t="s">
        <v>44</v>
      </c>
      <c r="C46" s="47" t="s">
        <v>38</v>
      </c>
      <c r="D46" s="48" t="s">
        <v>156</v>
      </c>
      <c r="E46" s="48" t="s">
        <v>101</v>
      </c>
      <c r="F46" s="5"/>
      <c r="G46" s="5"/>
      <c r="H46" s="5"/>
      <c r="I46" s="5"/>
      <c r="J46" s="20"/>
    </row>
    <row r="47" spans="1:10" ht="15.75" customHeight="1">
      <c r="A47" s="11" t="s">
        <v>33</v>
      </c>
      <c r="B47" s="13" t="s">
        <v>44</v>
      </c>
      <c r="C47" s="47" t="s">
        <v>38</v>
      </c>
      <c r="D47" s="48" t="s">
        <v>157</v>
      </c>
      <c r="E47" s="48" t="s">
        <v>107</v>
      </c>
      <c r="F47" s="5"/>
      <c r="G47" s="5"/>
      <c r="H47" s="5"/>
      <c r="I47" s="5"/>
      <c r="J47" s="20"/>
    </row>
    <row r="48" spans="1:10" ht="66" customHeight="1">
      <c r="A48" s="11" t="s">
        <v>114</v>
      </c>
      <c r="B48" s="13" t="s">
        <v>115</v>
      </c>
      <c r="C48" s="47" t="s">
        <v>38</v>
      </c>
      <c r="D48" s="48" t="s">
        <v>158</v>
      </c>
      <c r="E48" s="48" t="s">
        <v>107</v>
      </c>
      <c r="F48" s="5" t="s">
        <v>232</v>
      </c>
      <c r="G48" s="5" t="s">
        <v>233</v>
      </c>
      <c r="H48" s="5" t="s">
        <v>234</v>
      </c>
      <c r="I48" s="5" t="s">
        <v>235</v>
      </c>
      <c r="J48" s="20" t="s">
        <v>236</v>
      </c>
    </row>
    <row r="49" spans="1:10" ht="66" customHeight="1">
      <c r="A49" s="11" t="s">
        <v>114</v>
      </c>
      <c r="B49" s="13" t="s">
        <v>115</v>
      </c>
      <c r="C49" s="47" t="s">
        <v>38</v>
      </c>
      <c r="D49" s="48" t="s">
        <v>159</v>
      </c>
      <c r="E49" s="48" t="s">
        <v>107</v>
      </c>
      <c r="F49" s="5" t="s">
        <v>237</v>
      </c>
      <c r="G49" s="5" t="s">
        <v>238</v>
      </c>
      <c r="H49" s="5" t="s">
        <v>239</v>
      </c>
      <c r="I49" s="5" t="s">
        <v>240</v>
      </c>
      <c r="J49" s="20" t="s">
        <v>241</v>
      </c>
    </row>
    <row r="50" spans="1:10" ht="15.75" customHeight="1">
      <c r="A50" s="11" t="s">
        <v>33</v>
      </c>
      <c r="B50" s="13" t="s">
        <v>44</v>
      </c>
      <c r="C50" s="47" t="s">
        <v>38</v>
      </c>
      <c r="D50" s="48" t="s">
        <v>160</v>
      </c>
      <c r="E50" s="48" t="s">
        <v>107</v>
      </c>
      <c r="F50" s="5"/>
      <c r="G50" s="5"/>
      <c r="H50" s="5"/>
      <c r="I50" s="5"/>
      <c r="J50" s="20"/>
    </row>
    <row r="51" spans="1:10" ht="15.75" customHeight="1">
      <c r="A51" s="11" t="s">
        <v>33</v>
      </c>
      <c r="B51" s="13" t="s">
        <v>44</v>
      </c>
      <c r="C51" s="47" t="s">
        <v>38</v>
      </c>
      <c r="D51" s="48" t="s">
        <v>161</v>
      </c>
      <c r="E51" s="48" t="s">
        <v>107</v>
      </c>
      <c r="F51" s="5"/>
      <c r="G51" s="5"/>
      <c r="H51" s="5"/>
      <c r="I51" s="5"/>
      <c r="J51" s="20"/>
    </row>
    <row r="52" spans="1:10" ht="49.95" customHeight="1">
      <c r="A52" s="11" t="s">
        <v>33</v>
      </c>
      <c r="B52" s="13" t="s">
        <v>44</v>
      </c>
      <c r="C52" s="47" t="s">
        <v>38</v>
      </c>
      <c r="D52" s="48" t="s">
        <v>106</v>
      </c>
      <c r="E52" s="48" t="s">
        <v>107</v>
      </c>
      <c r="F52" s="5"/>
      <c r="G52" s="5"/>
      <c r="H52" s="5"/>
      <c r="I52" s="5"/>
      <c r="J52" s="20" t="s">
        <v>247</v>
      </c>
    </row>
    <row r="53" spans="1:10" ht="66" customHeight="1">
      <c r="A53" s="11" t="s">
        <v>114</v>
      </c>
      <c r="B53" s="13" t="s">
        <v>115</v>
      </c>
      <c r="C53" s="47" t="s">
        <v>38</v>
      </c>
      <c r="D53" s="48" t="s">
        <v>108</v>
      </c>
      <c r="E53" s="48" t="s">
        <v>107</v>
      </c>
      <c r="F53" s="5" t="s">
        <v>242</v>
      </c>
      <c r="G53" s="5" t="s">
        <v>243</v>
      </c>
      <c r="H53" s="5" t="s">
        <v>244</v>
      </c>
      <c r="I53" s="5" t="s">
        <v>245</v>
      </c>
      <c r="J53" s="20" t="s">
        <v>246</v>
      </c>
    </row>
    <row r="54" spans="1:10" ht="49.95" customHeight="1">
      <c r="A54" s="11" t="s">
        <v>33</v>
      </c>
      <c r="B54" s="13" t="s">
        <v>44</v>
      </c>
      <c r="C54" s="47" t="s">
        <v>38</v>
      </c>
      <c r="D54" s="48" t="s">
        <v>110</v>
      </c>
      <c r="E54" s="48" t="s">
        <v>107</v>
      </c>
      <c r="F54" s="5"/>
      <c r="G54" s="5"/>
      <c r="H54" s="5"/>
      <c r="I54" s="5"/>
      <c r="J54" s="20" t="s">
        <v>248</v>
      </c>
    </row>
    <row r="55" spans="1:10" ht="15.75" customHeight="1">
      <c r="A55" s="11" t="s">
        <v>33</v>
      </c>
      <c r="B55" s="13" t="s">
        <v>44</v>
      </c>
      <c r="C55" s="47" t="s">
        <v>38</v>
      </c>
      <c r="D55" s="48" t="s">
        <v>162</v>
      </c>
      <c r="E55" s="48" t="s">
        <v>107</v>
      </c>
      <c r="F55" s="5"/>
      <c r="G55" s="5"/>
      <c r="H55" s="5"/>
      <c r="I55" s="5"/>
      <c r="J55" s="20"/>
    </row>
    <row r="56" spans="1:10" ht="15.75" customHeight="1">
      <c r="A56" s="11" t="s">
        <v>33</v>
      </c>
      <c r="B56" s="13" t="s">
        <v>44</v>
      </c>
      <c r="C56" s="49" t="s">
        <v>38</v>
      </c>
      <c r="D56" s="50" t="s">
        <v>163</v>
      </c>
      <c r="E56" s="50" t="s">
        <v>141</v>
      </c>
      <c r="F56" s="51"/>
      <c r="G56" s="51"/>
      <c r="H56" s="51"/>
      <c r="I56" s="51"/>
      <c r="J56" s="52"/>
    </row>
    <row r="57" spans="1:10" ht="15.75" customHeight="1"/>
    <row r="58" spans="1:10" ht="15.75" customHeight="1"/>
    <row r="59" spans="1:10" ht="15.75" customHeight="1"/>
    <row r="60" spans="1:10" ht="15.75" customHeight="1"/>
    <row r="61" spans="1:10" ht="15.75" customHeight="1"/>
    <row r="62" spans="1:10" ht="15.75" customHeight="1"/>
    <row r="63" spans="1:10" ht="15.75" customHeight="1"/>
    <row r="64" spans="1:10"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2"/>
    <mergeCell ref="A3:J3"/>
  </mergeCells>
  <phoneticPr fontId="23"/>
  <conditionalFormatting sqref="A6:A56">
    <cfRule type="expression" dxfId="2" priority="1">
      <formula>A6="採用"</formula>
    </cfRule>
    <cfRule type="expression" dxfId="1" priority="2">
      <formula>A6="検討中"</formula>
    </cfRule>
    <cfRule type="expression" dxfId="0" priority="3">
      <formula>A6="未使用"</formula>
    </cfRule>
  </conditionalFormatting>
  <dataValidations count="2">
    <dataValidation type="list" allowBlank="1" sqref="B6:B56" xr:uid="{00000000-0002-0000-0100-000000000000}">
      <formula1>"主,補助,参考"</formula1>
    </dataValidation>
    <dataValidation type="list" allowBlank="1" sqref="A6:A56" xr:uid="{00000000-0002-0000-0100-000001000000}">
      <formula1>"未使用,検討中,採用"</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pane ySplit="9" topLeftCell="A10" activePane="bottomLeft" state="frozen"/>
      <selection pane="bottomLeft" activeCell="B11" sqref="B11"/>
    </sheetView>
  </sheetViews>
  <sheetFormatPr defaultColWidth="12.6640625" defaultRowHeight="15" customHeight="1"/>
  <cols>
    <col min="1" max="1" width="18" customWidth="1"/>
    <col min="2" max="2" width="34" customWidth="1"/>
    <col min="3" max="3" width="8" customWidth="1"/>
    <col min="4" max="4" width="26" customWidth="1"/>
    <col min="5" max="5" width="32" customWidth="1"/>
    <col min="6" max="6" width="28" customWidth="1"/>
    <col min="7" max="7" width="26" customWidth="1"/>
    <col min="8" max="26" width="8.6640625" customWidth="1"/>
  </cols>
  <sheetData>
    <row r="1" spans="1:7" ht="13.2">
      <c r="A1" s="65" t="s">
        <v>0</v>
      </c>
      <c r="B1" s="60"/>
      <c r="C1" s="60"/>
      <c r="D1" s="60"/>
      <c r="E1" s="60"/>
      <c r="F1" s="60"/>
      <c r="G1" s="60"/>
    </row>
    <row r="2" spans="1:7" ht="15" customHeight="1">
      <c r="A2" s="60"/>
      <c r="B2" s="60"/>
      <c r="C2" s="60"/>
      <c r="D2" s="60"/>
      <c r="E2" s="60"/>
      <c r="F2" s="60"/>
      <c r="G2" s="60"/>
    </row>
    <row r="3" spans="1:7" ht="13.2">
      <c r="A3" s="59" t="s">
        <v>251</v>
      </c>
      <c r="B3" s="60"/>
      <c r="C3" s="60"/>
      <c r="D3" s="60"/>
      <c r="E3" s="60"/>
      <c r="F3" s="60"/>
      <c r="G3" s="60"/>
    </row>
    <row r="5" spans="1:7" ht="26.4">
      <c r="A5" s="1" t="s">
        <v>5</v>
      </c>
      <c r="B5" s="8" t="str">
        <f>'01_設計書'!B6</f>
        <v>かも</v>
      </c>
      <c r="C5" s="1" t="s">
        <v>26</v>
      </c>
      <c r="D5" s="8">
        <f>'01_設計書'!D6</f>
        <v>0</v>
      </c>
      <c r="E5" s="1" t="s">
        <v>21</v>
      </c>
      <c r="F5" s="66" t="str">
        <f>'01_設計書'!F6</f>
        <v>WINGS</v>
      </c>
      <c r="G5" s="60"/>
    </row>
    <row r="6" spans="1:7" ht="13.2">
      <c r="A6" s="1" t="s">
        <v>23</v>
      </c>
      <c r="B6" s="8" t="str">
        <f>'01_設計書'!H6</f>
        <v>協調を作る</v>
      </c>
      <c r="C6" s="1" t="s">
        <v>53</v>
      </c>
      <c r="D6" s="8" t="str">
        <f>'01_設計書'!B7</f>
        <v>認識を作る</v>
      </c>
      <c r="E6" s="1" t="s">
        <v>60</v>
      </c>
      <c r="F6" s="66" t="str">
        <f>'01_設計書'!D7</f>
        <v>身体を作る</v>
      </c>
      <c r="G6" s="60"/>
    </row>
    <row r="8" spans="1:7" ht="14.4">
      <c r="A8" s="61" t="s">
        <v>65</v>
      </c>
      <c r="B8" s="60"/>
      <c r="C8" s="60"/>
      <c r="D8" s="60"/>
      <c r="E8" s="60"/>
      <c r="F8" s="60"/>
      <c r="G8" s="60"/>
    </row>
    <row r="9" spans="1:7" ht="13.2">
      <c r="A9" s="24" t="s">
        <v>13</v>
      </c>
      <c r="B9" s="24" t="s">
        <v>14</v>
      </c>
      <c r="C9" s="24" t="s">
        <v>16</v>
      </c>
      <c r="D9" s="24" t="s">
        <v>71</v>
      </c>
      <c r="E9" s="24" t="s">
        <v>72</v>
      </c>
      <c r="F9" s="24" t="s">
        <v>20</v>
      </c>
      <c r="G9" s="24" t="s">
        <v>74</v>
      </c>
    </row>
    <row r="10" spans="1:7" ht="84" customHeight="1">
      <c r="A10" s="27" t="str" cm="1">
        <f t="array" ref="A10">IFERROR(INDEX('02_技術選択'!$C$6:$I$56,_xlfn.AGGREGATE(15,6,(ROW('02_技術選択'!$A$6:$A$56)-ROW('02_技術選択'!$A$6)+1)/('02_技術選択'!$A$6:$A$56="採用"),ROWS($A$10:A10)),1),"")</f>
        <v>認識を作る</v>
      </c>
      <c r="B10" s="29" t="str" cm="1">
        <f t="array" ref="B10">IFERROR(INDEX('02_技術選択'!$C$6:$I$56,_xlfn.AGGREGATE(15,6,(ROW('02_技術選択'!$A$6:$A$56)-ROW('02_技術選択'!$A$6)+1)/('02_技術選択'!$A$6:$A$56="採用"),ROWS($A$10:A10)),2),"")</f>
        <v>ブラックボード・アーキテクチャで世界を認識する</v>
      </c>
      <c r="C10" s="29" t="str" cm="1">
        <f t="array" ref="C10">IFERROR(INDEX('02_技術選択'!$C$6:$I$56,_xlfn.AGGREGATE(15,6,(ROW('02_技術選択'!$A$6:$A$56)-ROW('02_技術選択'!$A$6)+1)/('02_技術選択'!$A$6:$A$56="採用"),ROWS($A$10:A10)),3),"")</f>
        <v>2章</v>
      </c>
      <c r="D10" s="29" t="str" cm="1">
        <f t="array" ref="D10">IFERROR(INDEX('02_技術選択'!$C$6:$I$56,_xlfn.AGGREGATE(15,6,(ROW('02_技術選択'!$A$6:$A$56)-ROW('02_技術選択'!$A$6)+1)/('02_技術選択'!$A$6:$A$56="採用"),ROWS($A$10:A10)),4),"")</f>
        <v>センサーで得た事実を判断用の記録へ分離する。</v>
      </c>
      <c r="E10" s="29" t="str" cm="1">
        <f t="array" ref="E10">IFERROR(INDEX('02_技術選択'!$C$6:$I$56,_xlfn.AGGREGATE(15,6,(ROW('02_技術選択'!$A$6:$A$56)-ROW('02_技術選択'!$A$6)+1)/('02_技術選択'!$A$6:$A$56="採用"),ROWS($A$10:A10)),5),"")</f>
        <v>VisionSensorのContactに目標ID、観測位置、目撃時刻、可視状態、情報源、信頼度を保存する。</v>
      </c>
      <c r="F10" s="29" t="str" cm="1">
        <f t="array" ref="F10">IFERROR(INDEX('02_技術選択'!$C$6:$I$56,_xlfn.AGGREGATE(15,6,(ROW('02_技術選択'!$A$6:$A$56)-ROW('02_技術選択'!$A$6)+1)/('02_技術選択'!$A$6:$A$56="採用"),ROWS($A$10:A10)),6),"")</f>
        <v>全体に存在する敵と、自分が知る敵を区別する。</v>
      </c>
      <c r="G10" s="32" t="str" cm="1">
        <f t="array" ref="G10">IFERROR(INDEX('02_技術選択'!$C$6:$I$56,_xlfn.AGGREGATE(15,6,(ROW('02_技術選択'!$A$6:$A$56)-ROW('02_技術選択'!$A$6)+1)/('02_技術選択'!$A$6:$A$56="採用"),ROWS($A$10:A10)),7),"")</f>
        <v>背後・壁裏にいる登録済みの敵を選ばない試験。</v>
      </c>
    </row>
    <row r="11" spans="1:7" ht="84" customHeight="1">
      <c r="A11" s="27" t="str" cm="1">
        <f t="array" ref="A11">IFERROR(INDEX('02_技術選択'!$C$6:$I$56,_xlfn.AGGREGATE(15,6,(ROW('02_技術選択'!$A$6:$A$56)-ROW('02_技術選択'!$A$6)+1)/('02_技術選択'!$A$6:$A$56="採用"),ROWS($A$10:A11)),1),"")</f>
        <v>認識を作る</v>
      </c>
      <c r="B11" s="29" t="str" cm="1">
        <f t="array" ref="B11">IFERROR(INDEX('02_技術選択'!$C$6:$I$56,_xlfn.AGGREGATE(15,6,(ROW('02_技術選択'!$A$6:$A$56)-ROW('02_技術選択'!$A$6)+1)/('02_技術選択'!$A$6:$A$56="採用"),ROWS($A$10:A11)),2),"")</f>
        <v>知覚空間と作用空間で世界を認識する</v>
      </c>
      <c r="C11" s="29" t="str" cm="1">
        <f t="array" ref="C11">IFERROR(INDEX('02_技術選択'!$C$6:$I$56,_xlfn.AGGREGATE(15,6,(ROW('02_技術選択'!$A$6:$A$56)-ROW('02_技術選択'!$A$6)+1)/('02_技術選択'!$A$6:$A$56="採用"),ROWS($A$10:A11)),3),"")</f>
        <v>5章</v>
      </c>
      <c r="D11" s="29" t="str" cm="1">
        <f t="array" ref="D11">IFERROR(INDEX('02_技術選択'!$C$6:$I$56,_xlfn.AGGREGATE(15,6,(ROW('02_技術選択'!$A$6:$A$56)-ROW('02_技術選択'!$A$6)+1)/('02_技術選択'!$A$6:$A$56="採用"),ROWS($A$10:A11)),4),"")</f>
        <v>見える範囲と攻撃できる範囲を分ける。</v>
      </c>
      <c r="E11" s="29" t="str" cm="1">
        <f t="array" ref="E11">IFERROR(INDEX('02_技術選択'!$C$6:$I$56,_xlfn.AGGREGATE(15,6,(ROW('02_技術選択'!$A$6:$A$56)-ROW('02_技術選択'!$A$6)+1)/('02_技術選択'!$A$6:$A$56="採用"),ROWS($A$10:A11)),5),"")</f>
        <v>CanSeeで視野・距離・遮蔽、CanFireで銃口の射線と武器射程を別に判定する。</v>
      </c>
      <c r="F11" s="29" t="str" cm="1">
        <f t="array" ref="F11">IFERROR(INDEX('02_技術選択'!$C$6:$I$56,_xlfn.AGGREGATE(15,6,(ROW('02_技術選択'!$A$6:$A$56)-ROW('02_技術選択'!$A$6)+1)/('02_技術選択'!$A$6:$A$56="採用"),ROWS($A$10:A11)),6),"")</f>
        <v>頭が見えても射線が塞がる場合は射撃せず位置を変える。</v>
      </c>
      <c r="G11" s="32" t="str" cm="1">
        <f t="array" ref="G11">IFERROR(INDEX('02_技術選択'!$C$6:$I$56,_xlfn.AGGREGATE(15,6,(ROW('02_技術選択'!$A$6:$A$56)-ROW('02_技術選択'!$A$6)+1)/('02_技術選択'!$A$6:$A$56="採用"),ROWS($A$10:A11)),7),"")</f>
        <v>低い壁で視認可・発砲不可になる試験。</v>
      </c>
    </row>
    <row r="12" spans="1:7" ht="84" customHeight="1">
      <c r="A12" s="27" t="str" cm="1">
        <f t="array" ref="A12">IFERROR(INDEX('02_技術選択'!$C$6:$I$56,_xlfn.AGGREGATE(15,6,(ROW('02_技術選択'!$A$6:$A$56)-ROW('02_技術選択'!$A$6)+1)/('02_技術選択'!$A$6:$A$56="採用"),ROWS($A$10:A12)),1),"")</f>
        <v>認識を作る</v>
      </c>
      <c r="B12" s="29" t="str" cm="1">
        <f t="array" ref="B12">IFERROR(INDEX('02_技術選択'!$C$6:$I$56,_xlfn.AGGREGATE(15,6,(ROW('02_技術選択'!$A$6:$A$56)-ROW('02_技術選択'!$A$6)+1)/('02_技術選択'!$A$6:$A$56="採用"),ROWS($A$10:A12)),2),"")</f>
        <v>不確かな情報の信頼度を使って思考する</v>
      </c>
      <c r="C12" s="29" t="str" cm="1">
        <f t="array" ref="C12">IFERROR(INDEX('02_技術選択'!$C$6:$I$56,_xlfn.AGGREGATE(15,6,(ROW('02_技術選択'!$A$6:$A$56)-ROW('02_技術選択'!$A$6)+1)/('02_技術選択'!$A$6:$A$56="採用"),ROWS($A$10:A12)),3),"")</f>
        <v>6章</v>
      </c>
      <c r="D12" s="29" t="str" cm="1">
        <f t="array" ref="D12">IFERROR(INDEX('02_技術選択'!$C$6:$I$56,_xlfn.AGGREGATE(15,6,(ROW('02_技術選択'!$A$6:$A$56)-ROW('02_技術選択'!$A$6)+1)/('02_技術選択'!$A$6:$A$56="採用"),ROWS($A$10:A12)),4),"")</f>
        <v>古い記憶や伝聞を現在の事実と混同しない。</v>
      </c>
      <c r="E12" s="29" t="str" cm="1">
        <f t="array" ref="E12">IFERROR(INDEX('02_技術選択'!$C$6:$I$56,_xlfn.AGGREGATE(15,6,(ROW('02_技術選択'!$A$6:$A$56)-ROW('02_技術選択'!$A$6)+1)/('02_技術選択'!$A$6:$A$56="採用"),ROWS($A$10:A12)),5),"")</f>
        <v>直接視認は信頼度1、記憶は3秒で減衰。報告は0.65を上限に1.5秒で減衰し、元の観測時刻を保持。0.2未満は捜索に使わず、高い信頼度の地点を優先する。</v>
      </c>
      <c r="F12" s="29" t="str" cm="1">
        <f t="array" ref="F12">IFERROR(INDEX('02_技術選択'!$C$6:$I$56,_xlfn.AGGREGATE(15,6,(ROW('02_技術選択'!$A$6:$A$56)-ROW('02_技術選択'!$A$6)+1)/('02_技術選択'!$A$6:$A$56="採用"),ROWS($A$10:A12)),6),"")</f>
        <v>見失った相手を透視追跡せず、記録した地点を短時間調べる。</v>
      </c>
      <c r="G12" s="32" t="str" cm="1">
        <f t="array" ref="G12">IFERROR(INDEX('02_技術選択'!$C$6:$I$56,_xlfn.AGGREGATE(15,6,(ROW('02_技術選択'!$A$6:$A$56)-ROW('02_技術選択'!$A$6)+1)/('02_技術選択'!$A$6:$A$56="採用"),ROWS($A$10:A12)),7),"")</f>
        <v>遮蔽中に相手を動かしても記憶位置が変わらないことと期限切れを検証。</v>
      </c>
    </row>
    <row r="13" spans="1:7" ht="84" customHeight="1">
      <c r="A13" s="27" t="str" cm="1">
        <f t="array" ref="A13">IFERROR(INDEX('02_技術選択'!$C$6:$I$56,_xlfn.AGGREGATE(15,6,(ROW('02_技術選択'!$A$6:$A$56)-ROW('02_技術選択'!$A$6)+1)/('02_技術選択'!$A$6:$A$56="採用"),ROWS($A$10:A13)),1),"")</f>
        <v>身体を作る</v>
      </c>
      <c r="B13" s="29" t="str" cm="1">
        <f t="array" ref="B13">IFERROR(INDEX('02_技術選択'!$C$6:$I$56,_xlfn.AGGREGATE(15,6,(ROW('02_技術選択'!$A$6:$A$56)-ROW('02_技術選択'!$A$6)+1)/('02_技術選択'!$A$6:$A$56="採用"),ROWS($A$10:A13)),2),"")</f>
        <v>キャラクターのセンサーを作る</v>
      </c>
      <c r="C13" s="29" t="str" cm="1">
        <f t="array" ref="C13">IFERROR(INDEX('02_技術選択'!$C$6:$I$56,_xlfn.AGGREGATE(15,6,(ROW('02_技術選択'!$A$6:$A$56)-ROW('02_技術選択'!$A$6)+1)/('02_技術選択'!$A$6:$A$56="採用"),ROWS($A$10:A13)),3),"")</f>
        <v>7章</v>
      </c>
      <c r="D13" s="29" t="str" cm="1">
        <f t="array" ref="D13">IFERROR(INDEX('02_技術選択'!$C$6:$I$56,_xlfn.AGGREGATE(15,6,(ROW('02_技術選択'!$A$6:$A$56)-ROW('02_技術選択'!$A$6)+1)/('02_技術選択'!$A$6:$A$56="採用"),ROWS($A$10:A13)),4),"")</f>
        <v>敵味方の視界に入っているかを判断する。</v>
      </c>
      <c r="E13" s="29" t="str" cm="1">
        <f t="array" ref="E13">IFERROR(INDEX('02_技術選択'!$C$6:$I$56,_xlfn.AGGREGATE(15,6,(ROW('02_技術選択'!$A$6:$A$56)-ROW('02_技術選択'!$A$6)+1)/('02_技術選択'!$A$6:$A$56="採用"),ROWS($A$10:A13)),5),"")</f>
        <v>VisionSensorで視野角と距離を絞り、胴・肩・頭へのLinecastで遮蔽を確認。約0.12秒間隔で更新する。</v>
      </c>
      <c r="F13" s="29" t="str" cm="1">
        <f t="array" ref="F13">IFERROR(INDEX('02_技術選択'!$C$6:$I$56,_xlfn.AGGREGATE(15,6,(ROW('02_技術選択'!$A$6:$A$56)-ROW('02_技術選択'!$A$6)+1)/('02_技術選択'!$A$6:$A$56="採用"),ROWS($A$10:A13)),6),"")</f>
        <v>背後・遠距離・完全に隠れた相手を認識しない。</v>
      </c>
      <c r="G13" s="32" t="str" cm="1">
        <f t="array" ref="G13">IFERROR(INDEX('02_技術選択'!$C$6:$I$56,_xlfn.AGGREGATE(15,6,(ROW('02_技術選択'!$A$6:$A$56)-ROW('02_技術選択'!$A$6)+1)/('02_技術選択'!$A$6:$A$56="採用"),ROWS($A$10:A13)),7),"")</f>
        <v>正面・背後・範囲外・完全遮蔽・頭だけ露出の試験。</v>
      </c>
    </row>
    <row r="14" spans="1:7" ht="84" customHeight="1">
      <c r="A14" s="27" t="str" cm="1">
        <f t="array" ref="A14">IFERROR(INDEX('02_技術選択'!$C$6:$I$56,_xlfn.AGGREGATE(15,6,(ROW('02_技術選択'!$A$6:$A$56)-ROW('02_技術選択'!$A$6)+1)/('02_技術選択'!$A$6:$A$56="採用"),ROWS($A$10:A14)),1),"")</f>
        <v>身体を作る</v>
      </c>
      <c r="B14" s="29" t="str" cm="1">
        <f t="array" ref="B14">IFERROR(INDEX('02_技術選択'!$C$6:$I$56,_xlfn.AGGREGATE(15,6,(ROW('02_技術選択'!$A$6:$A$56)-ROW('02_技術選択'!$A$6)+1)/('02_技術選択'!$A$6:$A$56="採用"),ROWS($A$10:A14)),2),"")</f>
        <v>キャラクターの身体を認識するということ</v>
      </c>
      <c r="C14" s="29" t="str" cm="1">
        <f t="array" ref="C14">IFERROR(INDEX('02_技術選択'!$C$6:$I$56,_xlfn.AGGREGATE(15,6,(ROW('02_技術選択'!$A$6:$A$56)-ROW('02_技術選択'!$A$6)+1)/('02_技術選択'!$A$6:$A$56="採用"),ROWS($A$10:A14)),3),"")</f>
        <v>7章</v>
      </c>
      <c r="D14" s="29" t="str" cm="1">
        <f t="array" ref="D14">IFERROR(INDEX('02_技術選択'!$C$6:$I$56,_xlfn.AGGREGATE(15,6,(ROW('02_技術選択'!$A$6:$A$56)-ROW('02_技術選択'!$A$6)+1)/('02_技術選択'!$A$6:$A$56="採用"),ROWS($A$10:A14)),4),"")</f>
        <v>自分の武器・身体・資源の制約を判断に使う。</v>
      </c>
      <c r="E14" s="29" t="str" cm="1">
        <f t="array" ref="E14">IFERROR(INDEX('02_技術選択'!$C$6:$I$56,_xlfn.AGGREGATE(15,6,(ROW('02_技術選択'!$A$6:$A$56)-ROW('02_技術選択'!$A$6)+1)/('02_技術選択'!$A$6:$A$56="採用"),ROWS($A$10:A14)),5),"")</f>
        <v>キャラ別の射程・適正距離、HP、弾数、装填、ライデンゲージ、能力の再使用時間を参照する。</v>
      </c>
      <c r="F14" s="29" t="str" cm="1">
        <f t="array" ref="F14">IFERROR(INDEX('02_技術選択'!$C$6:$I$56,_xlfn.AGGREGATE(15,6,(ROW('02_技術選択'!$A$6:$A$56)-ROW('02_技術選択'!$A$6)+1)/('02_技術選択'!$A$6:$A$56="採用"),ROWS($A$10:A14)),6),"")</f>
        <v>届かない攻撃や条件を満たさない能力を連発しない。</v>
      </c>
      <c r="G14" s="32" t="str" cm="1">
        <f t="array" ref="G14">IFERROR(INDEX('02_技術選択'!$C$6:$I$56,_xlfn.AGGREGATE(15,6,(ROW('02_技術選択'!$A$6:$A$56)-ROW('02_技術選択'!$A$6)+1)/('02_技術選択'!$A$6:$A$56="採用"),ROWS($A$10:A14)),7),"")</f>
        <v>射程外・装填中・ゲージ不足と、既存の能力検証を組み合わせる。</v>
      </c>
    </row>
    <row r="15" spans="1:7" ht="84" customHeight="1">
      <c r="A15" s="27" t="str" cm="1">
        <f t="array" ref="A15">IFERROR(INDEX('02_技術選択'!$C$6:$I$56,_xlfn.AGGREGATE(15,6,(ROW('02_技術選択'!$A$6:$A$56)-ROW('02_技術選択'!$A$6)+1)/('02_技術選択'!$A$6:$A$56="採用"),ROWS($A$10:A15)),1),"")</f>
        <v>身体を作る</v>
      </c>
      <c r="B15" s="29" t="str" cm="1">
        <f t="array" ref="B15">IFERROR(INDEX('02_技術選択'!$C$6:$I$56,_xlfn.AGGREGATE(15,6,(ROW('02_技術選択'!$A$6:$A$56)-ROW('02_技術選択'!$A$6)+1)/('02_技術選択'!$A$6:$A$56="採用"),ROWS($A$10:A15)),2),"")</f>
        <v>運動の統合</v>
      </c>
      <c r="C15" s="29" t="str" cm="1">
        <f t="array" ref="C15">IFERROR(INDEX('02_技術選択'!$C$6:$I$56,_xlfn.AGGREGATE(15,6,(ROW('02_技術選択'!$A$6:$A$56)-ROW('02_技術選択'!$A$6)+1)/('02_技術選択'!$A$6:$A$56="採用"),ROWS($A$10:A15)),3),"")</f>
        <v>7章</v>
      </c>
      <c r="D15" s="29" t="str" cm="1">
        <f t="array" ref="D15">IFERROR(INDEX('02_技術選択'!$C$6:$I$56,_xlfn.AGGREGATE(15,6,(ROW('02_技術選択'!$A$6:$A$56)-ROW('02_技術選択'!$A$6)+1)/('02_技術選択'!$A$6:$A$56="採用"),ROWS($A$10:A15)),4),"")</f>
        <v>経路移動と局所回避を両立する。</v>
      </c>
      <c r="E15" s="29" t="str" cm="1">
        <f t="array" ref="E15">IFERROR(INDEX('02_技術選択'!$C$6:$I$56,_xlfn.AGGREGATE(15,6,(ROW('02_技術選択'!$A$6:$A$56)-ROW('02_技術選択'!$A$6)+1)/('02_技術選択'!$A$6:$A$56="採用"),ROWS($A$10:A15)),5),"")</f>
        <v>実マップのColliderからNavMeshを生成。PathMotorの経路にセル近傍の分離操舵を合成し、CharacterControllerで移動する。</v>
      </c>
      <c r="F15" s="29" t="str" cm="1">
        <f t="array" ref="F15">IFERROR(INDEX('02_技術選択'!$C$6:$I$56,_xlfn.AGGREGATE(15,6,(ROW('02_技術選択'!$A$6:$A$56)-ROW('02_技術選択'!$A$6)+1)/('02_技術選択'!$A$6:$A$56="採用"),ROWS($A$10:A15)),6),"")</f>
        <v>遮蔽物を迂回し、仲間や敵同士の密集を緩和する。</v>
      </c>
      <c r="G15" s="32" t="str" cm="1">
        <f t="array" ref="G15">IFERROR(INDEX('02_技術選択'!$C$6:$I$56,_xlfn.AGGREGATE(15,6,(ROW('02_技術選択'!$A$6:$A$56)-ROW('02_技術選択'!$A$6)+1)/('02_技術選択'!$A$6:$A$56="採用"),ROWS($A$10:A15)),7),"")</f>
        <v>遮蔽物を挟んだ完全経路と、近接した2体が離れる方向を検証。</v>
      </c>
    </row>
    <row r="16" spans="1:7" ht="84" customHeight="1">
      <c r="A16" s="27" t="str" cm="1">
        <f t="array" ref="A16">IFERROR(INDEX('02_技術選択'!$C$6:$I$56,_xlfn.AGGREGATE(15,6,(ROW('02_技術選択'!$A$6:$A$56)-ROW('02_技術選択'!$A$6)+1)/('02_技術選択'!$A$6:$A$56="採用"),ROWS($A$10:A16)),1),"")</f>
        <v>協調を作る</v>
      </c>
      <c r="B16" s="29" t="str" cm="1">
        <f t="array" ref="B16">IFERROR(INDEX('02_技術選択'!$C$6:$I$56,_xlfn.AGGREGATE(15,6,(ROW('02_技術選択'!$A$6:$A$56)-ROW('02_技術選択'!$A$6)+1)/('02_技術選択'!$A$6:$A$56="採用"),ROWS($A$10:A16)),2),"")</f>
        <v>チーム表現</v>
      </c>
      <c r="C16" s="29" t="str" cm="1">
        <f t="array" ref="C16">IFERROR(INDEX('02_技術選択'!$C$6:$I$56,_xlfn.AGGREGATE(15,6,(ROW('02_技術選択'!$A$6:$A$56)-ROW('02_技術選択'!$A$6)+1)/('02_技術選択'!$A$6:$A$56="採用"),ROWS($A$10:A16)),3),"")</f>
        <v>8章</v>
      </c>
      <c r="D16" s="29" t="str" cm="1">
        <f t="array" ref="D16">IFERROR(INDEX('02_技術選択'!$C$6:$I$56,_xlfn.AGGREGATE(15,6,(ROW('02_技術選択'!$A$6:$A$56)-ROW('02_技術選択'!$A$6)+1)/('02_技術選択'!$A$6:$A$56="採用"),ROWS($A$10:A16)),4),"")</f>
        <v>部隊として命令と配置を表す。</v>
      </c>
      <c r="E16" s="29" t="str" cm="1">
        <f t="array" ref="E16">IFERROR(INDEX('02_技術選択'!$C$6:$I$56,_xlfn.AGGREGATE(15,6,(ROW('02_技術選択'!$A$6:$A$56)-ROW('02_技術選択'!$A$6)+1)/('02_技術選択'!$A$6:$A$56="採用"),ROWS($A$10:A16)),5),"")</f>
        <v>SquadOrderを大命令、SquadBrainの状態を下位行動とする。追従の編隊位置と防衛範囲を個体へ割り当てる。</v>
      </c>
      <c r="F16" s="29" t="str" cm="1">
        <f t="array" ref="F16">IFERROR(INDEX('02_技術選択'!$C$6:$I$56,_xlfn.AGGREGATE(15,6,(ROW('02_技術選択'!$A$6:$A$56)-ROW('02_技術選択'!$A$6)+1)/('02_技術選択'!$A$6:$A$56="採用"),ROWS($A$10:A16)),6),"")</f>
        <v>同じ指示を共有しつつ、全員が同じ一点に集まらない。</v>
      </c>
      <c r="G16" s="32" t="str" cm="1">
        <f t="array" ref="G16">IFERROR(INDEX('02_技術選択'!$C$6:$I$56,_xlfn.AGGREGATE(15,6,(ROW('02_技術選択'!$A$6:$A$56)-ROW('02_技術選択'!$A$6)+1)/('02_技術選択'!$A$6:$A$56="採用"),ROWS($A$10:A16)),7),"")</f>
        <v>追従・防衛・攻撃を切り替え、状態と目的地をF1・ログで確認。</v>
      </c>
    </row>
    <row r="17" spans="1:7" ht="84" customHeight="1">
      <c r="A17" s="27" t="str" cm="1">
        <f t="array" ref="A17">IFERROR(INDEX('02_技術選択'!$C$6:$I$56,_xlfn.AGGREGATE(15,6,(ROW('02_技術選択'!$A$6:$A$56)-ROW('02_技術選択'!$A$6)+1)/('02_技術選択'!$A$6:$A$56="採用"),ROWS($A$10:A17)),1),"")</f>
        <v>協調を作る</v>
      </c>
      <c r="B17" s="29" t="str" cm="1">
        <f t="array" ref="B17">IFERROR(INDEX('02_技術選択'!$C$6:$I$56,_xlfn.AGGREGATE(15,6,(ROW('02_技術選択'!$A$6:$A$56)-ROW('02_技術選択'!$A$6)+1)/('02_技術選択'!$A$6:$A$56="採用"),ROWS($A$10:A17)),2),"")</f>
        <v>プレイヤーを包囲する方法</v>
      </c>
      <c r="C17" s="29" t="str" cm="1">
        <f t="array" ref="C17">IFERROR(INDEX('02_技術選択'!$C$6:$I$56,_xlfn.AGGREGATE(15,6,(ROW('02_技術選択'!$A$6:$A$56)-ROW('02_技術選択'!$A$6)+1)/('02_技術選択'!$A$6:$A$56="採用"),ROWS($A$10:A17)),3),"")</f>
        <v>8章</v>
      </c>
      <c r="D17" s="29" t="str" cm="1">
        <f t="array" ref="D17">IFERROR(INDEX('02_技術選択'!$C$6:$I$56,_xlfn.AGGREGATE(15,6,(ROW('02_技術選択'!$A$6:$A$56)-ROW('02_技術選択'!$A$6)+1)/('02_技術選択'!$A$6:$A$56="採用"),ROWS($A$10:A17)),4),"")</f>
        <v>近接する敵が同一点へ殺到するのを抑える。</v>
      </c>
      <c r="E17" s="29" t="str" cm="1">
        <f t="array" ref="E17">IFERROR(INDEX('02_技術選択'!$C$6:$I$56,_xlfn.AGGREGATE(15,6,(ROW('02_技術選択'!$A$6:$A$56)-ROW('02_技術選択'!$A$6)+1)/('02_技術選択'!$A$6:$A$56="採用"),ROWS($A$10:A17)),5),"")</f>
        <v>SquadBlackboardで目標ごとの包囲スロットを予約。相手には8、タワーには12の候補位置を設け、期限付きで担当する。</v>
      </c>
      <c r="F17" s="29" t="str" cm="1">
        <f t="array" ref="F17">IFERROR(INDEX('02_技術選択'!$C$6:$I$56,_xlfn.AGGREGATE(15,6,(ROW('02_技術選択'!$A$6:$A$56)-ROW('02_技術選択'!$A$6)+1)/('02_技術選択'!$A$6:$A$56="採用"),ROWS($A$10:A17)),6),"")</f>
        <v>複数の敵が別方向から接近し、タワーの周囲へ展開する。</v>
      </c>
      <c r="G17" s="32" t="str" cm="1">
        <f t="array" ref="G17">IFERROR(INDEX('02_技術選択'!$C$6:$I$56,_xlfn.AGGREGATE(15,6,(ROW('02_技術選択'!$A$6:$A$56)-ROW('02_技術選択'!$A$6)+1)/('02_技術選択'!$A$6:$A$56="採用"),ROWS($A$10:A17)),7),"")</f>
        <v>同じ条件の2体に異なるスロットと間隔が与えられることを検証。</v>
      </c>
    </row>
    <row r="18" spans="1:7" ht="84" customHeight="1">
      <c r="A18" s="27" t="str" cm="1">
        <f t="array" ref="A18">IFERROR(INDEX('02_技術選択'!$C$6:$I$56,_xlfn.AGGREGATE(15,6,(ROW('02_技術選択'!$A$6:$A$56)-ROW('02_技術選択'!$A$6)+1)/('02_技術選択'!$A$6:$A$56="採用"),ROWS($A$10:A18)),1),"")</f>
        <v>協調を作る</v>
      </c>
      <c r="B18" s="29" t="str" cm="1">
        <f t="array" ref="B18">IFERROR(INDEX('02_技術選択'!$C$6:$I$56,_xlfn.AGGREGATE(15,6,(ROW('02_技術選択'!$A$6:$A$56)-ROW('02_技術選択'!$A$6)+1)/('02_技術選択'!$A$6:$A$56="採用"),ROWS($A$10:A18)),2),"")</f>
        <v>セルベースの群衆制御法</v>
      </c>
      <c r="C18" s="29" t="str" cm="1">
        <f t="array" ref="C18">IFERROR(INDEX('02_技術選択'!$C$6:$I$56,_xlfn.AGGREGATE(15,6,(ROW('02_技術選択'!$A$6:$A$56)-ROW('02_技術選択'!$A$6)+1)/('02_技術選択'!$A$6:$A$56="採用"),ROWS($A$10:A18)),3),"")</f>
        <v>8章</v>
      </c>
      <c r="D18" s="29" t="str" cm="1">
        <f t="array" ref="D18">IFERROR(INDEX('02_技術選択'!$C$6:$I$56,_xlfn.AGGREGATE(15,6,(ROW('02_技術選択'!$A$6:$A$56)-ROW('02_技術選択'!$A$6)+1)/('02_技術選択'!$A$6:$A$56="採用"),ROWS($A$10:A18)),4),"")</f>
        <v>近くの個体の密集と押し合いを減らす。</v>
      </c>
      <c r="E18" s="29" t="str" cm="1">
        <f t="array" ref="E18">IFERROR(INDEX('02_技術選択'!$C$6:$I$56,_xlfn.AGGREGATE(15,6,(ROW('02_技術選択'!$A$6:$A$56)-ROW('02_技術選択'!$A$6)+1)/('02_技術選択'!$A$6:$A$56="採用"),ROWS($A$10:A18)),5),"")</f>
        <v>CrowdGridで2.5mセルへ個体を分け、周辺セルの物理的な近傍だけから分離方向を算出する。壁を挟む相手は回避計算から除外する。</v>
      </c>
      <c r="F18" s="29" t="str" cm="1">
        <f t="array" ref="F18">IFERROR(INDEX('02_技術選択'!$C$6:$I$56,_xlfn.AGGREGATE(15,6,(ROW('02_技術選択'!$A$6:$A$56)-ROW('02_技術選択'!$A$6)+1)/('02_技術選択'!$A$6:$A$56="採用"),ROWS($A$10:A18)),6),"")</f>
        <v>列や団子への過度な集中を緩和し、通路では自然に列になる。</v>
      </c>
      <c r="G18" s="32" t="str" cm="1">
        <f t="array" ref="G18">IFERROR(INDEX('02_技術選択'!$C$6:$I$56,_xlfn.AGGREGATE(15,6,(ROW('02_技術選択'!$A$6:$A$56)-ROW('02_技術選択'!$A$6)+1)/('02_技術選択'!$A$6:$A$56="採用"),ROWS($A$10:A18)),7),"")</f>
        <v>同一セルへ複数体を置き、間隔・回避方向と実際の群衆移動を確認。</v>
      </c>
    </row>
    <row r="19" spans="1:7" ht="84" customHeight="1">
      <c r="A19" s="27" t="str" cm="1">
        <f t="array" ref="A19">IFERROR(INDEX('02_技術選択'!$C$6:$I$56,_xlfn.AGGREGATE(15,6,(ROW('02_技術選択'!$A$6:$A$56)-ROW('02_技術選択'!$A$6)+1)/('02_技術選択'!$A$6:$A$56="採用"),ROWS($A$10:A19)),1),"")</f>
        <v>協調を作る</v>
      </c>
      <c r="B19" s="29" t="str" cm="1">
        <f t="array" ref="B19">IFERROR(INDEX('02_技術選択'!$C$6:$I$56,_xlfn.AGGREGATE(15,6,(ROW('02_技術選択'!$A$6:$A$56)-ROW('02_技術選択'!$A$6)+1)/('02_技術選択'!$A$6:$A$56="採用"),ROWS($A$10:A19)),2),"")</f>
        <v>AI同士の連携</v>
      </c>
      <c r="C19" s="29" t="str" cm="1">
        <f t="array" ref="C19">IFERROR(INDEX('02_技術選択'!$C$6:$I$56,_xlfn.AGGREGATE(15,6,(ROW('02_技術選択'!$A$6:$A$56)-ROW('02_技術選択'!$A$6)+1)/('02_技術選択'!$A$6:$A$56="採用"),ROWS($A$10:A19)),3),"")</f>
        <v>5章</v>
      </c>
      <c r="D19" s="29" t="str" cm="1">
        <f t="array" ref="D19">IFERROR(INDEX('02_技術選択'!$C$6:$I$56,_xlfn.AGGREGATE(15,6,(ROW('02_技術選択'!$A$6:$A$56)-ROW('02_技術選択'!$A$6)+1)/('02_技術選択'!$A$6:$A$56="採用"),ROWS($A$10:A19)),4),"")</f>
        <v>味方の発見と攻撃担当を連携させる。</v>
      </c>
      <c r="E19" s="29" t="str" cm="1">
        <f t="array" ref="E19">IFERROR(INDEX('02_技術選択'!$C$6:$I$56,_xlfn.AGGREGATE(15,6,(ROW('02_技術選択'!$A$6:$A$56)-ROW('02_技術選択'!$A$6)+1)/('02_技術選択'!$A$6:$A$56="採用"),ROWS($A$10:A19)),5),"")</f>
        <v>目視したContactだけを報告し、担当予約数を目標の効用評価へ反映。報告を受けた味方は地点へ向かい、自分で再発見して攻撃する。</v>
      </c>
      <c r="F19" s="29" t="str" cm="1">
        <f t="array" ref="F19">IFERROR(INDEX('02_技術選択'!$C$6:$I$56,_xlfn.AGGREGATE(15,6,(ROW('02_技術選択'!$A$6:$A$56)-ROW('02_技術選択'!$A$6)+1)/('02_技術選択'!$A$6:$A$56="採用"),ROWS($A$10:A19)),6),"")</f>
        <v>離れた味方の発見を捜索に使い、過剰な集中攻撃を抑える。</v>
      </c>
      <c r="G19" s="32" t="str" cm="1">
        <f t="array" ref="G19">IFERROR(INDEX('02_技術選択'!$C$6:$I$56,_xlfn.AGGREGATE(15,6,(ROW('02_技術選択'!$A$6:$A$56)-ROW('02_技術選択'!$A$6)+1)/('02_技術選択'!$A$6:$A$56="採用"),ROWS($A$10:A19)),7),"")</f>
        <v>報告の元時刻・失効と、伝聞を新しい目視として再送しないことを検証。</v>
      </c>
    </row>
    <row r="20" spans="1:7" ht="84" customHeight="1">
      <c r="A20" s="27" t="str" cm="1">
        <f t="array" ref="A20">IFERROR(INDEX('02_技術選択'!$C$6:$I$56,_xlfn.AGGREGATE(15,6,(ROW('02_技術選択'!$A$6:$A$56)-ROW('02_技術選択'!$A$6)+1)/('02_技術選択'!$A$6:$A$56="採用"),ROWS($A$10:A20)),1),"")</f>
        <v>協調を作る</v>
      </c>
      <c r="B20" s="29" t="str" cm="1">
        <f t="array" ref="B20">IFERROR(INDEX('02_技術選択'!$C$6:$I$56,_xlfn.AGGREGATE(15,6,(ROW('02_技術選択'!$A$6:$A$56)-ROW('02_技術選択'!$A$6)+1)/('02_技術選択'!$A$6:$A$56="採用"),ROWS($A$10:A20)),2),"")</f>
        <v>ブラックボードで情報を把握する</v>
      </c>
      <c r="C20" s="29" t="str" cm="1">
        <f t="array" ref="C20">IFERROR(INDEX('02_技術選択'!$C$6:$I$56,_xlfn.AGGREGATE(15,6,(ROW('02_技術選択'!$A$6:$A$56)-ROW('02_技術選択'!$A$6)+1)/('02_技術選択'!$A$6:$A$56="採用"),ROWS($A$10:A20)),3),"")</f>
        <v>2章</v>
      </c>
      <c r="D20" s="29" t="str" cm="1">
        <f t="array" ref="D20">IFERROR(INDEX('02_技術選択'!$C$6:$I$56,_xlfn.AGGREGATE(15,6,(ROW('02_技術選択'!$A$6:$A$56)-ROW('02_技術選択'!$A$6)+1)/('02_技術選択'!$A$6:$A$56="採用"),ROWS($A$10:A20)),4),"")</f>
        <v>共有情報と配置予約を一か所で管理する。</v>
      </c>
      <c r="E20" s="29" t="str" cm="1">
        <f t="array" ref="E20">IFERROR(INDEX('02_技術選択'!$C$6:$I$56,_xlfn.AGGREGATE(15,6,(ROW('02_技術選択'!$A$6:$A$56)-ROW('02_技術選択'!$A$6)+1)/('02_技術選択'!$A$6:$A$56="採用"),ROWS($A$10:A20)),5),"")</f>
        <v>SquadBlackboardに観測位置・報告者・観測時刻と、担当スロット・予約期限を保持する。死亡・任務終了時に予約を解放する。</v>
      </c>
      <c r="F20" s="29" t="str" cm="1">
        <f t="array" ref="F20">IFERROR(INDEX('02_技術選択'!$C$6:$I$56,_xlfn.AGGREGATE(15,6,(ROW('02_技術選択'!$A$6:$A$56)-ROW('02_技術選択'!$A$6)+1)/('02_技術選択'!$A$6:$A$56="採用"),ROWS($A$10:A20)),6),"")</f>
        <v>共有情報の鮮度と、誰がどこを担当するかを説明できる。</v>
      </c>
      <c r="G20" s="32" t="str" cm="1">
        <f t="array" ref="G20">IFERROR(INDEX('02_技術選択'!$C$6:$I$56,_xlfn.AGGREGATE(15,6,(ROW('02_技術選択'!$A$6:$A$56)-ROW('02_技術選択'!$A$6)+1)/('02_技術選択'!$A$6:$A$56="採用"),ROWS($A$10:A20)),7),"")</f>
        <v>報告の失効、スロット競合の回避、任務終了時の初期化を確認。</v>
      </c>
    </row>
    <row r="21" spans="1:7" ht="84" customHeight="1">
      <c r="A21" s="27" t="str" cm="1">
        <f t="array" ref="A21">IFERROR(INDEX('02_技術選択'!$C$6:$I$56,_xlfn.AGGREGATE(15,6,(ROW('02_技術選択'!$A$6:$A$56)-ROW('02_技術選択'!$A$6)+1)/('02_技術選択'!$A$6:$A$56="採用"),ROWS($A$10:A21)),1),"")</f>
        <v>知能を作る</v>
      </c>
      <c r="B21" s="29" t="str" cm="1">
        <f t="array" ref="B21">IFERROR(INDEX('02_技術選択'!$C$6:$I$56,_xlfn.AGGREGATE(15,6,(ROW('02_技術選択'!$A$6:$A$56)-ROW('02_技術選択'!$A$6)+1)/('02_技術選択'!$A$6:$A$56="採用"),ROWS($A$10:A21)),2),"")</f>
        <v>モジュラーデザインを作る</v>
      </c>
      <c r="C21" s="29" t="str" cm="1">
        <f t="array" ref="C21">IFERROR(INDEX('02_技術選択'!$C$6:$I$56,_xlfn.AGGREGATE(15,6,(ROW('02_技術選択'!$A$6:$A$56)-ROW('02_技術選択'!$A$6)+1)/('02_技術選択'!$A$6:$A$56="採用"),ROWS($A$10:A21)),3),"")</f>
        <v>3章</v>
      </c>
      <c r="D21" s="29" t="str" cm="1">
        <f t="array" ref="D21">IFERROR(INDEX('02_技術選択'!$C$6:$I$56,_xlfn.AGGREGATE(15,6,(ROW('02_技術選択'!$A$6:$A$56)-ROW('02_技術選択'!$A$6)+1)/('02_技術選択'!$A$6:$A$56="採用"),ROWS($A$10:A21)),4),"")</f>
        <v>認識・判断・移動・行動を独立して改善できるようにする。</v>
      </c>
      <c r="E21" s="29" t="str" cm="1">
        <f t="array" ref="E21">IFERROR(INDEX('02_技術選択'!$C$6:$I$56,_xlfn.AGGREGATE(15,6,(ROW('02_技術選択'!$A$6:$A$56)-ROW('02_技術選択'!$A$6)+1)/('02_技術選択'!$A$6:$A$56="採用"),ROWS($A$10:A21)),5),"")</f>
        <v>AIBody、VisionSensor、SquadBrain/EnemyBrain、PathMotor、既存の武器・能力処理へ分離する。</v>
      </c>
      <c r="F21" s="29" t="str" cm="1">
        <f t="array" ref="F21">IFERROR(INDEX('02_技術選択'!$C$6:$I$56,_xlfn.AGGREGATE(15,6,(ROW('02_技術選択'!$A$6:$A$56)-ROW('02_技術選択'!$A$6)+1)/('02_技術選択'!$A$6:$A$56="採用"),ROWS($A$10:A21)),6),"")</f>
        <v>認識ルールを変えても武器処理を作り直さずに済む。</v>
      </c>
      <c r="G21" s="32" t="str" cm="1">
        <f t="array" ref="G21">IFERROR(INDEX('02_技術選択'!$C$6:$I$56,_xlfn.AGGREGATE(15,6,(ROW('02_技術選択'!$A$6:$A$56)-ROW('02_技術選択'!$A$6)+1)/('02_技術選択'!$A$6:$A$56="採用"),ROWS($A$10:A21)),7),"")</f>
        <v>認識だけの試験、命令の判断試験、実際の防衛戦を段階的に実行。</v>
      </c>
    </row>
    <row r="22" spans="1:7" ht="84" customHeight="1">
      <c r="A22" s="27" t="str" cm="1">
        <f t="array" ref="A22">IFERROR(INDEX('02_技術選択'!$C$6:$I$56,_xlfn.AGGREGATE(15,6,(ROW('02_技術選択'!$A$6:$A$56)-ROW('02_技術選択'!$A$6)+1)/('02_技術選択'!$A$6:$A$56="採用"),ROWS($A$10:A22)),1),"")</f>
        <v>知能を作る</v>
      </c>
      <c r="B22" s="29" t="str" cm="1">
        <f t="array" ref="B22">IFERROR(INDEX('02_技術選択'!$C$6:$I$56,_xlfn.AGGREGATE(15,6,(ROW('02_技術選択'!$A$6:$A$56)-ROW('02_技術選択'!$A$6)+1)/('02_技術選択'!$A$6:$A$56="採用"),ROWS($A$10:A22)),2),"")</f>
        <v>①ルールベースAI</v>
      </c>
      <c r="C22" s="29" t="str" cm="1">
        <f t="array" ref="C22">IFERROR(INDEX('02_技術選択'!$C$6:$I$56,_xlfn.AGGREGATE(15,6,(ROW('02_技術選択'!$A$6:$A$56)-ROW('02_技術選択'!$A$6)+1)/('02_技術選択'!$A$6:$A$56="採用"),ROWS($A$10:A22)),3),"")</f>
        <v>4章</v>
      </c>
      <c r="D22" s="29" t="str" cm="1">
        <f t="array" ref="D22">IFERROR(INDEX('02_技術選択'!$C$6:$I$56,_xlfn.AGGREGATE(15,6,(ROW('02_技術選択'!$A$6:$A$56)-ROW('02_技術選択'!$A$6)+1)/('02_技術選択'!$A$6:$A$56="採用"),ROWS($A$10:A22)),4),"")</f>
        <v>射撃や能力の安全条件を確実に守る。</v>
      </c>
      <c r="E22" s="29" t="str" cm="1">
        <f t="array" ref="E22">IFERROR(INDEX('02_技術選択'!$C$6:$I$56,_xlfn.AGGREGATE(15,6,(ROW('02_技術選択'!$A$6:$A$56)-ROW('02_技術選択'!$A$6)+1)/('02_技術選択'!$A$6:$A$56="採用"),ROWS($A$10:A22)),5),"")</f>
        <v>目視・射線・射程・弾数・装填・ゲージ・クールダウンを条件分岐で判定。記憶だけの攻撃を拒否する。</v>
      </c>
      <c r="F22" s="29" t="str" cm="1">
        <f t="array" ref="F22">IFERROR(INDEX('02_技術選択'!$C$6:$I$56,_xlfn.AGGREGATE(15,6,(ROW('02_技術選択'!$A$6:$A$56)-ROW('02_技術選択'!$A$6)+1)/('02_技術選択'!$A$6:$A$56="採用"),ROWS($A$10:A22)),6),"")</f>
        <v>壁越しの通常射撃や資源不足の連発を避ける。</v>
      </c>
      <c r="G22" s="32" t="str" cm="1">
        <f t="array" ref="G22">IFERROR(INDEX('02_技術選択'!$C$6:$I$56,_xlfn.AGGREGATE(15,6,(ROW('02_技術選択'!$A$6:$A$56)-ROW('02_技術選択'!$A$6)+1)/('02_技術選択'!$A$6:$A$56="採用"),ROWS($A$10:A22)),7),"")</f>
        <v>見失った目標への発砲拒否、射線遮蔽と既存の資源消費試験。</v>
      </c>
    </row>
    <row r="23" spans="1:7" ht="84" customHeight="1">
      <c r="A23" s="27" t="str" cm="1">
        <f t="array" ref="A23">IFERROR(INDEX('02_技術選択'!$C$6:$I$56,_xlfn.AGGREGATE(15,6,(ROW('02_技術選択'!$A$6:$A$56)-ROW('02_技術選択'!$A$6)+1)/('02_技術選択'!$A$6:$A$56="採用"),ROWS($A$10:A23)),1),"")</f>
        <v>知能を作る</v>
      </c>
      <c r="B23" s="29" t="str" cm="1">
        <f t="array" ref="B23">IFERROR(INDEX('02_技術選択'!$C$6:$I$56,_xlfn.AGGREGATE(15,6,(ROW('02_技術選択'!$A$6:$A$56)-ROW('02_技術選択'!$A$6)+1)/('02_技術選択'!$A$6:$A$56="採用"),ROWS($A$10:A23)),2),"")</f>
        <v>②ステートベースAI</v>
      </c>
      <c r="C23" s="29" t="str" cm="1">
        <f t="array" ref="C23">IFERROR(INDEX('02_技術選択'!$C$6:$I$56,_xlfn.AGGREGATE(15,6,(ROW('02_技術選択'!$A$6:$A$56)-ROW('02_技術選択'!$A$6)+1)/('02_技術選択'!$A$6:$A$56="採用"),ROWS($A$10:A23)),3),"")</f>
        <v>4章</v>
      </c>
      <c r="D23" s="29" t="str" cm="1">
        <f t="array" ref="D23">IFERROR(INDEX('02_技術選択'!$C$6:$I$56,_xlfn.AGGREGATE(15,6,(ROW('02_技術選択'!$A$6:$A$56)-ROW('02_技術選択'!$A$6)+1)/('02_技術選択'!$A$6:$A$56="採用"),ROWS($A$10:A23)),4),"")</f>
        <v>大命令の内側で状況に応じて行動を変える。</v>
      </c>
      <c r="E23" s="29" t="str" cm="1">
        <f t="array" ref="E23">IFERROR(INDEX('02_技術選択'!$C$6:$I$56,_xlfn.AGGREGATE(15,6,(ROW('02_技術選択'!$A$6:$A$56)-ROW('02_技術選択'!$A$6)+1)/('02_技術選択'!$A$6:$A$56="採用"),ROWS($A$10:A23)),5),"")</f>
        <v>Guard、Patrol、Regroup、Pursue、Reposition、Attack、Investigate、Reloadを明示し、状態遷移と理由を記録する。</v>
      </c>
      <c r="F23" s="29" t="str" cm="1">
        <f t="array" ref="F23">IFERROR(INDEX('02_技術選択'!$C$6:$I$56,_xlfn.AGGREGATE(15,6,(ROW('02_技術選択'!$A$6:$A$56)-ROW('02_技術選択'!$A$6)+1)/('02_技術選択'!$A$6:$A$56="採用"),ROWS($A$10:A23)),6),"")</f>
        <v>射線が悪ければ位置調整、敵を失えば捜索、離れすぎれば帰還へ切り替わる。</v>
      </c>
      <c r="G23" s="32" t="str" cm="1">
        <f t="array" ref="G23">IFERROR(INDEX('02_技術選択'!$C$6:$I$56,_xlfn.AGGREGATE(15,6,(ROW('02_技術選択'!$A$6:$A$56)-ROW('02_技術選択'!$A$6)+1)/('02_技術選択'!$A$6:$A$56="採用"),ROWS($A$10:A23)),7),"")</f>
        <v>F1と状態遷移ログ、追従・防衛の範囲試験で確認。</v>
      </c>
    </row>
    <row r="24" spans="1:7" ht="84" customHeight="1">
      <c r="A24" s="27" t="str" cm="1">
        <f t="array" ref="A24">IFERROR(INDEX('02_技術選択'!$C$6:$I$56,_xlfn.AGGREGATE(15,6,(ROW('02_技術選択'!$A$6:$A$56)-ROW('02_技術選択'!$A$6)+1)/('02_技術選択'!$A$6:$A$56="採用"),ROWS($A$10:A24)),1),"")</f>
        <v>知能を作る</v>
      </c>
      <c r="B24" s="29" t="str" cm="1">
        <f t="array" ref="B24">IFERROR(INDEX('02_技術選択'!$C$6:$I$56,_xlfn.AGGREGATE(15,6,(ROW('02_技術選択'!$A$6:$A$56)-ROW('02_技術選択'!$A$6)+1)/('02_技術選択'!$A$6:$A$56="採用"),ROWS($A$10:A24)),2),"")</f>
        <v>⑥ユーティリティベースAI</v>
      </c>
      <c r="C24" s="29" t="str" cm="1">
        <f t="array" ref="C24">IFERROR(INDEX('02_技術選択'!$C$6:$I$56,_xlfn.AGGREGATE(15,6,(ROW('02_技術選択'!$A$6:$A$56)-ROW('02_技術選択'!$A$6)+1)/('02_技術選択'!$A$6:$A$56="採用"),ROWS($A$10:A24)),3),"")</f>
        <v>4章</v>
      </c>
      <c r="D24" s="29" t="str" cm="1">
        <f t="array" ref="D24">IFERROR(INDEX('02_技術選択'!$C$6:$I$56,_xlfn.AGGREGATE(15,6,(ROW('02_技術選択'!$A$6:$A$56)-ROW('02_技術選択'!$A$6)+1)/('02_技術選択'!$A$6:$A$56="採用"),ROWS($A$10:A24)),4),"")</f>
        <v>可視の候補から状況に合う攻撃目標を選ぶ。</v>
      </c>
      <c r="E24" s="29" t="str" cm="1">
        <f t="array" ref="E24">IFERROR(INDEX('02_技術選択'!$C$6:$I$56,_xlfn.AGGREGATE(15,6,(ROW('02_技術選択'!$A$6:$A$56)-ROW('02_技術選択'!$A$6)+1)/('02_技術選択'!$A$6:$A$56="採用"),ROWS($A$10:A24)),5),"")</f>
        <v>適正射程との差、拠点への接近度、味方の担当数を点数化。保持時間と切替差で目標の頻繁な入れ替わりを抑える。</v>
      </c>
      <c r="F24" s="29" t="str" cm="1">
        <f t="array" ref="F24">IFERROR(INDEX('02_技術選択'!$C$6:$I$56,_xlfn.AGGREGATE(15,6,(ROW('02_技術選択'!$A$6:$A$56)-ROW('02_技術選択'!$A$6)+1)/('02_技術選択'!$A$6:$A$56="採用"),ROWS($A$10:A24)),6),"")</f>
        <v>同じ近さの相手へ毎回目標を振り直さず、役割に合う敵を選ぶ。</v>
      </c>
      <c r="G24" s="32" t="str" cm="1">
        <f t="array" ref="G24">IFERROR(INDEX('02_技術選択'!$C$6:$I$56,_xlfn.AGGREGATE(15,6,(ROW('02_技術選択'!$A$6:$A$56)-ROW('02_技術選択'!$A$6)+1)/('02_技術選択'!$A$6:$A$56="採用"),ROWS($A$10:A24)),7),"")</f>
        <v>同条件の候補、担当数と射程差を変え、目標IDと判断を比較する。</v>
      </c>
    </row>
    <row r="25" spans="1:7" ht="18" customHeight="1">
      <c r="A25" s="27" t="str" cm="1">
        <f t="array" ref="A25">IFERROR(INDEX('02_技術選択'!$C$6:$I$56,_xlfn.AGGREGATE(15,6,(ROW('02_技術選択'!$A$6:$A$56)-ROW('02_技術選択'!$A$6)+1)/('02_技術選択'!$A$6:$A$56="採用"),ROWS($A$10:A25)),1),"")</f>
        <v/>
      </c>
      <c r="B25" s="29" t="str" cm="1">
        <f t="array" ref="B25">IFERROR(INDEX('02_技術選択'!$C$6:$I$56,_xlfn.AGGREGATE(15,6,(ROW('02_技術選択'!$A$6:$A$56)-ROW('02_技術選択'!$A$6)+1)/('02_技術選択'!$A$6:$A$56="採用"),ROWS($A$10:A25)),2),"")</f>
        <v/>
      </c>
      <c r="C25" s="29" t="str" cm="1">
        <f t="array" ref="C25">IFERROR(INDEX('02_技術選択'!$C$6:$I$56,_xlfn.AGGREGATE(15,6,(ROW('02_技術選択'!$A$6:$A$56)-ROW('02_技術選択'!$A$6)+1)/('02_技術選択'!$A$6:$A$56="採用"),ROWS($A$10:A25)),3),"")</f>
        <v/>
      </c>
      <c r="D25" s="29" t="str" cm="1">
        <f t="array" ref="D25">IFERROR(INDEX('02_技術選択'!$C$6:$I$56,_xlfn.AGGREGATE(15,6,(ROW('02_技術選択'!$A$6:$A$56)-ROW('02_技術選択'!$A$6)+1)/('02_技術選択'!$A$6:$A$56="採用"),ROWS($A$10:A25)),4),"")</f>
        <v/>
      </c>
      <c r="E25" s="29" t="str" cm="1">
        <f t="array" ref="E25">IFERROR(INDEX('02_技術選択'!$C$6:$I$56,_xlfn.AGGREGATE(15,6,(ROW('02_技術選択'!$A$6:$A$56)-ROW('02_技術選択'!$A$6)+1)/('02_技術選択'!$A$6:$A$56="採用"),ROWS($A$10:A25)),5),"")</f>
        <v/>
      </c>
      <c r="F25" s="29" t="str" cm="1">
        <f t="array" ref="F25">IFERROR(INDEX('02_技術選択'!$C$6:$I$56,_xlfn.AGGREGATE(15,6,(ROW('02_技術選択'!$A$6:$A$56)-ROW('02_技術選択'!$A$6)+1)/('02_技術選択'!$A$6:$A$56="採用"),ROWS($A$10:A25)),6),"")</f>
        <v/>
      </c>
      <c r="G25" s="32" t="str" cm="1">
        <f t="array" ref="G25">IFERROR(INDEX('02_技術選択'!$C$6:$I$56,_xlfn.AGGREGATE(15,6,(ROW('02_技術選択'!$A$6:$A$56)-ROW('02_技術選択'!$A$6)+1)/('02_技術選択'!$A$6:$A$56="採用"),ROWS($A$10:A25)),7),"")</f>
        <v/>
      </c>
    </row>
    <row r="26" spans="1:7" ht="18" customHeight="1">
      <c r="A26" s="27" t="str" cm="1">
        <f t="array" ref="A26">IFERROR(INDEX('02_技術選択'!$C$6:$I$56,_xlfn.AGGREGATE(15,6,(ROW('02_技術選択'!$A$6:$A$56)-ROW('02_技術選択'!$A$6)+1)/('02_技術選択'!$A$6:$A$56="採用"),ROWS($A$10:A26)),1),"")</f>
        <v/>
      </c>
      <c r="B26" s="29" t="str" cm="1">
        <f t="array" ref="B26">IFERROR(INDEX('02_技術選択'!$C$6:$I$56,_xlfn.AGGREGATE(15,6,(ROW('02_技術選択'!$A$6:$A$56)-ROW('02_技術選択'!$A$6)+1)/('02_技術選択'!$A$6:$A$56="採用"),ROWS($A$10:A26)),2),"")</f>
        <v/>
      </c>
      <c r="C26" s="29" t="str" cm="1">
        <f t="array" ref="C26">IFERROR(INDEX('02_技術選択'!$C$6:$I$56,_xlfn.AGGREGATE(15,6,(ROW('02_技術選択'!$A$6:$A$56)-ROW('02_技術選択'!$A$6)+1)/('02_技術選択'!$A$6:$A$56="採用"),ROWS($A$10:A26)),3),"")</f>
        <v/>
      </c>
      <c r="D26" s="29" t="str" cm="1">
        <f t="array" ref="D26">IFERROR(INDEX('02_技術選択'!$C$6:$I$56,_xlfn.AGGREGATE(15,6,(ROW('02_技術選択'!$A$6:$A$56)-ROW('02_技術選択'!$A$6)+1)/('02_技術選択'!$A$6:$A$56="採用"),ROWS($A$10:A26)),4),"")</f>
        <v/>
      </c>
      <c r="E26" s="29" t="str" cm="1">
        <f t="array" ref="E26">IFERROR(INDEX('02_技術選択'!$C$6:$I$56,_xlfn.AGGREGATE(15,6,(ROW('02_技術選択'!$A$6:$A$56)-ROW('02_技術選択'!$A$6)+1)/('02_技術選択'!$A$6:$A$56="採用"),ROWS($A$10:A26)),5),"")</f>
        <v/>
      </c>
      <c r="F26" s="29" t="str" cm="1">
        <f t="array" ref="F26">IFERROR(INDEX('02_技術選択'!$C$6:$I$56,_xlfn.AGGREGATE(15,6,(ROW('02_技術選択'!$A$6:$A$56)-ROW('02_技術選択'!$A$6)+1)/('02_技術選択'!$A$6:$A$56="採用"),ROWS($A$10:A26)),6),"")</f>
        <v/>
      </c>
      <c r="G26" s="32" t="str" cm="1">
        <f t="array" ref="G26">IFERROR(INDEX('02_技術選択'!$C$6:$I$56,_xlfn.AGGREGATE(15,6,(ROW('02_技術選択'!$A$6:$A$56)-ROW('02_技術選択'!$A$6)+1)/('02_技術選択'!$A$6:$A$56="採用"),ROWS($A$10:A26)),7),"")</f>
        <v/>
      </c>
    </row>
    <row r="27" spans="1:7" ht="18" customHeight="1">
      <c r="A27" s="27" t="str" cm="1">
        <f t="array" ref="A27">IFERROR(INDEX('02_技術選択'!$C$6:$I$56,_xlfn.AGGREGATE(15,6,(ROW('02_技術選択'!$A$6:$A$56)-ROW('02_技術選択'!$A$6)+1)/('02_技術選択'!$A$6:$A$56="採用"),ROWS($A$10:A27)),1),"")</f>
        <v/>
      </c>
      <c r="B27" s="29" t="str" cm="1">
        <f t="array" ref="B27">IFERROR(INDEX('02_技術選択'!$C$6:$I$56,_xlfn.AGGREGATE(15,6,(ROW('02_技術選択'!$A$6:$A$56)-ROW('02_技術選択'!$A$6)+1)/('02_技術選択'!$A$6:$A$56="採用"),ROWS($A$10:A27)),2),"")</f>
        <v/>
      </c>
      <c r="C27" s="29" t="str" cm="1">
        <f t="array" ref="C27">IFERROR(INDEX('02_技術選択'!$C$6:$I$56,_xlfn.AGGREGATE(15,6,(ROW('02_技術選択'!$A$6:$A$56)-ROW('02_技術選択'!$A$6)+1)/('02_技術選択'!$A$6:$A$56="採用"),ROWS($A$10:A27)),3),"")</f>
        <v/>
      </c>
      <c r="D27" s="29" t="str" cm="1">
        <f t="array" ref="D27">IFERROR(INDEX('02_技術選択'!$C$6:$I$56,_xlfn.AGGREGATE(15,6,(ROW('02_技術選択'!$A$6:$A$56)-ROW('02_技術選択'!$A$6)+1)/('02_技術選択'!$A$6:$A$56="採用"),ROWS($A$10:A27)),4),"")</f>
        <v/>
      </c>
      <c r="E27" s="29" t="str" cm="1">
        <f t="array" ref="E27">IFERROR(INDEX('02_技術選択'!$C$6:$I$56,_xlfn.AGGREGATE(15,6,(ROW('02_技術選択'!$A$6:$A$56)-ROW('02_技術選択'!$A$6)+1)/('02_技術選択'!$A$6:$A$56="採用"),ROWS($A$10:A27)),5),"")</f>
        <v/>
      </c>
      <c r="F27" s="29" t="str" cm="1">
        <f t="array" ref="F27">IFERROR(INDEX('02_技術選択'!$C$6:$I$56,_xlfn.AGGREGATE(15,6,(ROW('02_技術選択'!$A$6:$A$56)-ROW('02_技術選択'!$A$6)+1)/('02_技術選択'!$A$6:$A$56="採用"),ROWS($A$10:A27)),6),"")</f>
        <v/>
      </c>
      <c r="G27" s="32" t="str" cm="1">
        <f t="array" ref="G27">IFERROR(INDEX('02_技術選択'!$C$6:$I$56,_xlfn.AGGREGATE(15,6,(ROW('02_技術選択'!$A$6:$A$56)-ROW('02_技術選択'!$A$6)+1)/('02_技術選択'!$A$6:$A$56="採用"),ROWS($A$10:A27)),7),"")</f>
        <v/>
      </c>
    </row>
    <row r="28" spans="1:7" ht="18" customHeight="1">
      <c r="A28" s="27" t="str" cm="1">
        <f t="array" ref="A28">IFERROR(INDEX('02_技術選択'!$C$6:$I$56,_xlfn.AGGREGATE(15,6,(ROW('02_技術選択'!$A$6:$A$56)-ROW('02_技術選択'!$A$6)+1)/('02_技術選択'!$A$6:$A$56="採用"),ROWS($A$10:A28)),1),"")</f>
        <v/>
      </c>
      <c r="B28" s="29" t="str" cm="1">
        <f t="array" ref="B28">IFERROR(INDEX('02_技術選択'!$C$6:$I$56,_xlfn.AGGREGATE(15,6,(ROW('02_技術選択'!$A$6:$A$56)-ROW('02_技術選択'!$A$6)+1)/('02_技術選択'!$A$6:$A$56="採用"),ROWS($A$10:A28)),2),"")</f>
        <v/>
      </c>
      <c r="C28" s="29" t="str" cm="1">
        <f t="array" ref="C28">IFERROR(INDEX('02_技術選択'!$C$6:$I$56,_xlfn.AGGREGATE(15,6,(ROW('02_技術選択'!$A$6:$A$56)-ROW('02_技術選択'!$A$6)+1)/('02_技術選択'!$A$6:$A$56="採用"),ROWS($A$10:A28)),3),"")</f>
        <v/>
      </c>
      <c r="D28" s="29" t="str" cm="1">
        <f t="array" ref="D28">IFERROR(INDEX('02_技術選択'!$C$6:$I$56,_xlfn.AGGREGATE(15,6,(ROW('02_技術選択'!$A$6:$A$56)-ROW('02_技術選択'!$A$6)+1)/('02_技術選択'!$A$6:$A$56="採用"),ROWS($A$10:A28)),4),"")</f>
        <v/>
      </c>
      <c r="E28" s="29" t="str" cm="1">
        <f t="array" ref="E28">IFERROR(INDEX('02_技術選択'!$C$6:$I$56,_xlfn.AGGREGATE(15,6,(ROW('02_技術選択'!$A$6:$A$56)-ROW('02_技術選択'!$A$6)+1)/('02_技術選択'!$A$6:$A$56="採用"),ROWS($A$10:A28)),5),"")</f>
        <v/>
      </c>
      <c r="F28" s="29" t="str" cm="1">
        <f t="array" ref="F28">IFERROR(INDEX('02_技術選択'!$C$6:$I$56,_xlfn.AGGREGATE(15,6,(ROW('02_技術選択'!$A$6:$A$56)-ROW('02_技術選択'!$A$6)+1)/('02_技術選択'!$A$6:$A$56="採用"),ROWS($A$10:A28)),6),"")</f>
        <v/>
      </c>
      <c r="G28" s="32" t="str" cm="1">
        <f t="array" ref="G28">IFERROR(INDEX('02_技術選択'!$C$6:$I$56,_xlfn.AGGREGATE(15,6,(ROW('02_技術選択'!$A$6:$A$56)-ROW('02_技術選択'!$A$6)+1)/('02_技術選択'!$A$6:$A$56="採用"),ROWS($A$10:A28)),7),"")</f>
        <v/>
      </c>
    </row>
    <row r="29" spans="1:7" ht="18" customHeight="1">
      <c r="A29" s="27" t="str" cm="1">
        <f t="array" ref="A29">IFERROR(INDEX('02_技術選択'!$C$6:$I$56,_xlfn.AGGREGATE(15,6,(ROW('02_技術選択'!$A$6:$A$56)-ROW('02_技術選択'!$A$6)+1)/('02_技術選択'!$A$6:$A$56="採用"),ROWS($A$10:A29)),1),"")</f>
        <v/>
      </c>
      <c r="B29" s="29" t="str" cm="1">
        <f t="array" ref="B29">IFERROR(INDEX('02_技術選択'!$C$6:$I$56,_xlfn.AGGREGATE(15,6,(ROW('02_技術選択'!$A$6:$A$56)-ROW('02_技術選択'!$A$6)+1)/('02_技術選択'!$A$6:$A$56="採用"),ROWS($A$10:A29)),2),"")</f>
        <v/>
      </c>
      <c r="C29" s="29" t="str" cm="1">
        <f t="array" ref="C29">IFERROR(INDEX('02_技術選択'!$C$6:$I$56,_xlfn.AGGREGATE(15,6,(ROW('02_技術選択'!$A$6:$A$56)-ROW('02_技術選択'!$A$6)+1)/('02_技術選択'!$A$6:$A$56="採用"),ROWS($A$10:A29)),3),"")</f>
        <v/>
      </c>
      <c r="D29" s="29" t="str" cm="1">
        <f t="array" ref="D29">IFERROR(INDEX('02_技術選択'!$C$6:$I$56,_xlfn.AGGREGATE(15,6,(ROW('02_技術選択'!$A$6:$A$56)-ROW('02_技術選択'!$A$6)+1)/('02_技術選択'!$A$6:$A$56="採用"),ROWS($A$10:A29)),4),"")</f>
        <v/>
      </c>
      <c r="E29" s="29" t="str" cm="1">
        <f t="array" ref="E29">IFERROR(INDEX('02_技術選択'!$C$6:$I$56,_xlfn.AGGREGATE(15,6,(ROW('02_技術選択'!$A$6:$A$56)-ROW('02_技術選択'!$A$6)+1)/('02_技術選択'!$A$6:$A$56="採用"),ROWS($A$10:A29)),5),"")</f>
        <v/>
      </c>
      <c r="F29" s="29" t="str" cm="1">
        <f t="array" ref="F29">IFERROR(INDEX('02_技術選択'!$C$6:$I$56,_xlfn.AGGREGATE(15,6,(ROW('02_技術選択'!$A$6:$A$56)-ROW('02_技術選択'!$A$6)+1)/('02_技術選択'!$A$6:$A$56="採用"),ROWS($A$10:A29)),6),"")</f>
        <v/>
      </c>
      <c r="G29" s="32" t="str" cm="1">
        <f t="array" ref="G29">IFERROR(INDEX('02_技術選択'!$C$6:$I$56,_xlfn.AGGREGATE(15,6,(ROW('02_技術選択'!$A$6:$A$56)-ROW('02_技術選択'!$A$6)+1)/('02_技術選択'!$A$6:$A$56="採用"),ROWS($A$10:A29)),7),"")</f>
        <v/>
      </c>
    </row>
    <row r="30" spans="1:7" ht="18" customHeight="1">
      <c r="A30" s="27" t="str" cm="1">
        <f t="array" ref="A30">IFERROR(INDEX('02_技術選択'!$C$6:$I$56,_xlfn.AGGREGATE(15,6,(ROW('02_技術選択'!$A$6:$A$56)-ROW('02_技術選択'!$A$6)+1)/('02_技術選択'!$A$6:$A$56="採用"),ROWS($A$10:A30)),1),"")</f>
        <v/>
      </c>
      <c r="B30" s="29" t="str" cm="1">
        <f t="array" ref="B30">IFERROR(INDEX('02_技術選択'!$C$6:$I$56,_xlfn.AGGREGATE(15,6,(ROW('02_技術選択'!$A$6:$A$56)-ROW('02_技術選択'!$A$6)+1)/('02_技術選択'!$A$6:$A$56="採用"),ROWS($A$10:A30)),2),"")</f>
        <v/>
      </c>
      <c r="C30" s="29" t="str" cm="1">
        <f t="array" ref="C30">IFERROR(INDEX('02_技術選択'!$C$6:$I$56,_xlfn.AGGREGATE(15,6,(ROW('02_技術選択'!$A$6:$A$56)-ROW('02_技術選択'!$A$6)+1)/('02_技術選択'!$A$6:$A$56="採用"),ROWS($A$10:A30)),3),"")</f>
        <v/>
      </c>
      <c r="D30" s="29" t="str" cm="1">
        <f t="array" ref="D30">IFERROR(INDEX('02_技術選択'!$C$6:$I$56,_xlfn.AGGREGATE(15,6,(ROW('02_技術選択'!$A$6:$A$56)-ROW('02_技術選択'!$A$6)+1)/('02_技術選択'!$A$6:$A$56="採用"),ROWS($A$10:A30)),4),"")</f>
        <v/>
      </c>
      <c r="E30" s="29" t="str" cm="1">
        <f t="array" ref="E30">IFERROR(INDEX('02_技術選択'!$C$6:$I$56,_xlfn.AGGREGATE(15,6,(ROW('02_技術選択'!$A$6:$A$56)-ROW('02_技術選択'!$A$6)+1)/('02_技術選択'!$A$6:$A$56="採用"),ROWS($A$10:A30)),5),"")</f>
        <v/>
      </c>
      <c r="F30" s="29" t="str" cm="1">
        <f t="array" ref="F30">IFERROR(INDEX('02_技術選択'!$C$6:$I$56,_xlfn.AGGREGATE(15,6,(ROW('02_技術選択'!$A$6:$A$56)-ROW('02_技術選択'!$A$6)+1)/('02_技術選択'!$A$6:$A$56="採用"),ROWS($A$10:A30)),6),"")</f>
        <v/>
      </c>
      <c r="G30" s="32" t="str" cm="1">
        <f t="array" ref="G30">IFERROR(INDEX('02_技術選択'!$C$6:$I$56,_xlfn.AGGREGATE(15,6,(ROW('02_技術選択'!$A$6:$A$56)-ROW('02_技術選択'!$A$6)+1)/('02_技術選択'!$A$6:$A$56="採用"),ROWS($A$10:A30)),7),"")</f>
        <v/>
      </c>
    </row>
    <row r="31" spans="1:7" ht="18" customHeight="1">
      <c r="A31" s="67" t="str" cm="1">
        <f t="array" ref="A31">IFERROR(INDEX('02_技術選択'!$C$6:$I$56,_xlfn.AGGREGATE(15,6,(ROW('02_技術選択'!$A$6:$A$56)-ROW('02_技術選択'!$A$6)+1)/('02_技術選択'!$A$6:$A$56="採用"),ROWS($A$10:A31)),1),"")</f>
        <v/>
      </c>
      <c r="B31" s="67" t="str" cm="1">
        <f t="array" ref="B31">IFERROR(INDEX('02_技術選択'!$C$6:$I$56,_xlfn.AGGREGATE(15,6,(ROW('02_技術選択'!$A$6:$A$56)-ROW('02_技術選択'!$A$6)+1)/('02_技術選択'!$A$6:$A$56="採用"),ROWS($A$10:A31)),2),"")</f>
        <v/>
      </c>
      <c r="C31" s="67" t="str" cm="1">
        <f t="array" ref="C31">IFERROR(INDEX('02_技術選択'!$C$6:$I$56,_xlfn.AGGREGATE(15,6,(ROW('02_技術選択'!$A$6:$A$56)-ROW('02_技術選択'!$A$6)+1)/('02_技術選択'!$A$6:$A$56="採用"),ROWS($A$10:A31)),3),"")</f>
        <v/>
      </c>
      <c r="D31" s="67" t="str" cm="1">
        <f t="array" ref="D31">IFERROR(INDEX('02_技術選択'!$C$6:$I$56,_xlfn.AGGREGATE(15,6,(ROW('02_技術選択'!$A$6:$A$56)-ROW('02_技術選択'!$A$6)+1)/('02_技術選択'!$A$6:$A$56="採用"),ROWS($A$10:A31)),4),"")</f>
        <v/>
      </c>
      <c r="E31" s="67" t="str" cm="1">
        <f t="array" ref="E31">IFERROR(INDEX('02_技術選択'!$C$6:$I$56,_xlfn.AGGREGATE(15,6,(ROW('02_技術選択'!$A$6:$A$56)-ROW('02_技術選択'!$A$6)+1)/('02_技術選択'!$A$6:$A$56="採用"),ROWS($A$10:A31)),5),"")</f>
        <v/>
      </c>
      <c r="F31" s="67" t="str" cm="1">
        <f t="array" ref="F31">IFERROR(INDEX('02_技術選択'!$C$6:$I$56,_xlfn.AGGREGATE(15,6,(ROW('02_技術選択'!$A$6:$A$56)-ROW('02_技術選択'!$A$6)+1)/('02_技術選択'!$A$6:$A$56="採用"),ROWS($A$10:A31)),6),"")</f>
        <v/>
      </c>
      <c r="G31" s="67" t="str" cm="1">
        <f t="array" ref="G31">IFERROR(INDEX('02_技術選択'!$C$6:$I$56,_xlfn.AGGREGATE(15,6,(ROW('02_技術選択'!$A$6:$A$56)-ROW('02_技術選択'!$A$6)+1)/('02_技術選択'!$A$6:$A$56="採用"),ROWS($A$10:A31)),7),"")</f>
        <v/>
      </c>
    </row>
    <row r="32" spans="1:7" ht="15.75" customHeight="1">
      <c r="A32" s="61" t="s">
        <v>116</v>
      </c>
      <c r="B32" s="60"/>
      <c r="C32" s="60"/>
      <c r="D32" s="60"/>
      <c r="E32" s="60"/>
      <c r="F32" s="60"/>
      <c r="G32" s="60"/>
    </row>
    <row r="33" spans="1:7" ht="15.75" customHeight="1">
      <c r="A33" s="1" t="s">
        <v>117</v>
      </c>
      <c r="B33" s="62" t="str">
        <f>'01_設計書'!B10</f>
        <v>タワーへ侵攻する敵群と、追従・防衛・攻撃の指示を遂行する味方部隊を制御する。認識→判断→移動・攻撃を分離し、全体リストにいるだけの敵を既知とは扱わない。</v>
      </c>
      <c r="C33" s="60"/>
      <c r="D33" s="60"/>
      <c r="E33" s="60"/>
      <c r="F33" s="60"/>
      <c r="G33" s="60"/>
    </row>
    <row r="34" spans="1:7" ht="15.75" customHeight="1">
      <c r="B34" s="60"/>
      <c r="C34" s="60"/>
      <c r="D34" s="60"/>
      <c r="E34" s="60"/>
      <c r="F34" s="60"/>
      <c r="G34" s="60"/>
    </row>
    <row r="35" spans="1:7" ht="15.75" customHeight="1">
      <c r="A35" s="1" t="s">
        <v>119</v>
      </c>
      <c r="B35" s="62" t="str">
        <f>'01_設計書'!D10</f>
        <v>敵はNavMeshで拠点へ進み、セル内の近傍回避と包囲位置の予約で一列への集中を抑える。味方は編隊間隔と命令の行動範囲を保ち、目視した敵から適した攻撃目標を選ぶ。見失った相手の現在位置は追わない。</v>
      </c>
      <c r="C35" s="60"/>
      <c r="D35" s="60"/>
      <c r="E35" s="60"/>
      <c r="F35" s="60"/>
      <c r="G35" s="60"/>
    </row>
    <row r="36" spans="1:7" ht="15.75" customHeight="1">
      <c r="B36" s="60"/>
      <c r="C36" s="60"/>
      <c r="D36" s="60"/>
      <c r="E36" s="60"/>
      <c r="F36" s="60"/>
      <c r="G36" s="60"/>
    </row>
    <row r="37" spans="1:7" ht="15.75" customHeight="1">
      <c r="A37" s="1" t="s">
        <v>120</v>
      </c>
      <c r="B37" s="62" t="str">
        <f>'01_設計書'!F10</f>
        <v>視覚は距離・水平視野角・上下角・遮蔽物を約0.12秒ごとに判定。味方は120度、敵は110度。視認距離は味方25～55m、敵20～25m。胴・肩・頭の3点を調べ、射撃は別に銃口からの射線と武器射程を確認する。タワー位置とNavMeshは既知の任務・地図情報。音の推定は未採用。</v>
      </c>
      <c r="C37" s="60"/>
      <c r="D37" s="60"/>
      <c r="E37" s="60"/>
      <c r="F37" s="60"/>
      <c r="G37" s="60"/>
    </row>
    <row r="38" spans="1:7" ht="15.75" customHeight="1">
      <c r="B38" s="60"/>
      <c r="C38" s="60"/>
      <c r="D38" s="60"/>
      <c r="E38" s="60"/>
      <c r="F38" s="60"/>
      <c r="G38" s="60"/>
    </row>
    <row r="39" spans="1:7" ht="15.75" customHeight="1">
      <c r="A39" s="1" t="s">
        <v>122</v>
      </c>
      <c r="B39" s="62" t="str">
        <f>'01_設計書'!H10</f>
        <v>大命令は追従・防衛・攻撃を保持。追従は編隊位置へ戻り、リーダーから12mを超えたら帰還を優先。防衛はタワーから11mの範囲を維持。攻撃は目視した敵へ接近し、敵を知らなければ巡回。内部状態は警戒・帰還・追跡・位置調整・攻撃・捜索・装填。最終目撃位置は固定して3秒で忘れ、味方の報告は元の目撃時刻から1.5秒で失効。HP・弾数・射程・クールダウンも参照する。</v>
      </c>
      <c r="C39" s="60"/>
      <c r="D39" s="60"/>
      <c r="E39" s="60"/>
      <c r="F39" s="60"/>
      <c r="G39" s="60"/>
    </row>
    <row r="40" spans="1:7" ht="36" customHeight="1">
      <c r="B40" s="60"/>
      <c r="C40" s="60"/>
      <c r="D40" s="60"/>
      <c r="E40" s="60"/>
      <c r="F40" s="60"/>
      <c r="G40" s="60"/>
    </row>
    <row r="41" spans="1:7" ht="15.75" customHeight="1">
      <c r="A41" s="1" t="s">
        <v>124</v>
      </c>
      <c r="B41" s="62" t="str">
        <f>'01_設計書'!B13</f>
        <v>大命令＋FSMで行動を切り替え、目視した候補の距離・拠点への脅威・味方の担当数を効用スコアで比較する。目標は0.65秒保持し、原則8点以上有利な候補へ切替。安全条件はルールで判定。GOAP、学習、先読みシミュレーションは今回は使用しない。</v>
      </c>
      <c r="C41" s="60"/>
      <c r="D41" s="60"/>
      <c r="E41" s="60"/>
      <c r="F41" s="60"/>
      <c r="G41" s="60"/>
    </row>
    <row r="42" spans="1:7" ht="15.75" customHeight="1">
      <c r="B42" s="60"/>
      <c r="C42" s="60"/>
      <c r="D42" s="60"/>
      <c r="E42" s="60"/>
      <c r="F42" s="60"/>
      <c r="G42" s="60"/>
    </row>
    <row r="43" spans="1:7" ht="15.75" customHeight="1">
      <c r="A43" s="1" t="s">
        <v>127</v>
      </c>
      <c r="B43" s="62" t="str">
        <f>'01_設計書'!D13</f>
        <v>敵：拠点へ進行、目視した相手へ接近・包囲、射線・距離確認後に攻撃。味方：編隊追従、拠点警戒、巡回、目視目標の追跡、適正射程への位置調整、装填、状況に応じた固有能力。視界を失うと最終目撃地点を調べる。</v>
      </c>
      <c r="C43" s="60"/>
      <c r="D43" s="60"/>
      <c r="E43" s="60"/>
      <c r="F43" s="60"/>
      <c r="G43" s="60"/>
    </row>
    <row r="44" spans="1:7" ht="15.75" customHeight="1">
      <c r="B44" s="60"/>
      <c r="C44" s="60"/>
      <c r="D44" s="60"/>
      <c r="E44" s="60"/>
      <c r="F44" s="60"/>
      <c r="G44" s="60"/>
    </row>
    <row r="45" spans="1:7" ht="15.75" customHeight="1">
      <c r="A45" s="1" t="s">
        <v>129</v>
      </c>
      <c r="B45" s="62" t="str">
        <f>'01_設計書'!F13</f>
        <v>視界外の現在位置・HPは判断に使わない。記憶・報告だけでは射撃しない。頭が見えても銃口が隠れていれば位置を変える。タカのULTは壁の遮蔽だけ例外で、距離・視野角は維持。物理的な近傍回避は敵の発見情報にはしない。移動先は命令の範囲とNavMeshに制約される。</v>
      </c>
      <c r="C45" s="60"/>
      <c r="D45" s="60"/>
      <c r="E45" s="60"/>
      <c r="F45" s="60"/>
      <c r="G45" s="60"/>
    </row>
    <row r="46" spans="1:7" ht="15.75" customHeight="1">
      <c r="B46" s="60"/>
      <c r="C46" s="60"/>
      <c r="D46" s="60"/>
      <c r="E46" s="60"/>
      <c r="F46" s="60"/>
      <c r="G46" s="60"/>
    </row>
    <row r="47" spans="1:7" ht="15.75" customHeight="1">
      <c r="A47" s="1" t="s">
        <v>74</v>
      </c>
      <c r="B47" s="62" t="str">
        <f>'01_設計書'!H13</f>
        <v>F1で味方の命令・状態・判断理由・目視数・射撃許可・経路を表示。UnityでAIBodyを選択すると視野扇形、目視線、最終目撃地点をGizmos表示。味方の状態遷移はログに記録。自動検証で背後・距離外・遮蔽・低い壁・記憶の固定と失効・報告の失効・行動範囲・NavMesh迂回・包囲分担を確認する。</v>
      </c>
      <c r="C47" s="60"/>
      <c r="D47" s="60"/>
      <c r="E47" s="60"/>
      <c r="F47" s="60"/>
      <c r="G47" s="60"/>
    </row>
    <row r="48" spans="1:7" ht="15.75" customHeight="1">
      <c r="B48" s="60"/>
      <c r="C48" s="60"/>
      <c r="D48" s="60"/>
      <c r="E48" s="60"/>
      <c r="F48" s="60"/>
      <c r="G48" s="60"/>
    </row>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B45:G46"/>
    <mergeCell ref="B47:G48"/>
    <mergeCell ref="A1:G2"/>
    <mergeCell ref="A3:G3"/>
    <mergeCell ref="F5:G5"/>
    <mergeCell ref="F6:G6"/>
    <mergeCell ref="A8:G8"/>
    <mergeCell ref="A32:G32"/>
    <mergeCell ref="B33:G34"/>
    <mergeCell ref="B35:G36"/>
    <mergeCell ref="B37:G38"/>
    <mergeCell ref="B39:G40"/>
    <mergeCell ref="B41:G42"/>
    <mergeCell ref="B43:G44"/>
  </mergeCells>
  <phoneticPr fontId="23"/>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heetViews>
  <sheetFormatPr defaultColWidth="12.6640625" defaultRowHeight="15" customHeight="1"/>
  <cols>
    <col min="1" max="1" width="22" customWidth="1"/>
    <col min="2" max="2" width="52.21875" customWidth="1"/>
    <col min="3" max="3" width="40.6640625" customWidth="1"/>
    <col min="4" max="4" width="8" customWidth="1"/>
    <col min="5" max="5" width="44" customWidth="1"/>
    <col min="6" max="6" width="4" customWidth="1"/>
    <col min="7" max="26" width="8.6640625" customWidth="1"/>
  </cols>
  <sheetData>
    <row r="1" spans="1:6" ht="13.2">
      <c r="A1" s="65" t="s">
        <v>3</v>
      </c>
      <c r="B1" s="60"/>
      <c r="C1" s="60"/>
      <c r="D1" s="60"/>
      <c r="E1" s="60"/>
      <c r="F1" s="60"/>
    </row>
    <row r="2" spans="1:6" ht="15" customHeight="1">
      <c r="A2" s="60"/>
      <c r="B2" s="60"/>
      <c r="C2" s="60"/>
      <c r="D2" s="60"/>
      <c r="E2" s="60"/>
      <c r="F2" s="60"/>
    </row>
    <row r="4" spans="1:6" ht="13.2">
      <c r="A4" s="2" t="s">
        <v>6</v>
      </c>
      <c r="B4" s="4" t="s">
        <v>10</v>
      </c>
      <c r="C4" s="4" t="s">
        <v>12</v>
      </c>
      <c r="D4" s="4"/>
      <c r="E4" s="4"/>
      <c r="F4" s="6"/>
    </row>
    <row r="5" spans="1:6" ht="26.4">
      <c r="A5" s="7" t="s">
        <v>19</v>
      </c>
      <c r="B5" s="9" t="s">
        <v>24</v>
      </c>
      <c r="C5" s="9" t="s">
        <v>27</v>
      </c>
      <c r="D5" s="9"/>
      <c r="E5" s="9"/>
      <c r="F5" s="10"/>
    </row>
    <row r="6" spans="1:6" ht="26.4">
      <c r="A6" s="7" t="s">
        <v>30</v>
      </c>
      <c r="B6" s="9" t="s">
        <v>31</v>
      </c>
      <c r="C6" s="9" t="s">
        <v>32</v>
      </c>
      <c r="D6" s="9"/>
      <c r="E6" s="9"/>
      <c r="F6" s="10"/>
    </row>
    <row r="7" spans="1:6" ht="26.4">
      <c r="A7" s="7" t="s">
        <v>36</v>
      </c>
      <c r="B7" s="9" t="s">
        <v>37</v>
      </c>
      <c r="C7" s="9" t="s">
        <v>39</v>
      </c>
      <c r="D7" s="9"/>
      <c r="E7" s="9"/>
      <c r="F7" s="10"/>
    </row>
    <row r="8" spans="1:6" ht="26.4">
      <c r="A8" s="7" t="s">
        <v>40</v>
      </c>
      <c r="B8" s="9" t="s">
        <v>42</v>
      </c>
      <c r="C8" s="9" t="s">
        <v>43</v>
      </c>
      <c r="D8" s="9"/>
      <c r="E8" s="9"/>
      <c r="F8" s="10"/>
    </row>
    <row r="9" spans="1:6" ht="26.4">
      <c r="A9" s="7" t="s">
        <v>45</v>
      </c>
      <c r="B9" s="9" t="s">
        <v>46</v>
      </c>
      <c r="C9" s="9" t="s">
        <v>47</v>
      </c>
      <c r="D9" s="9"/>
      <c r="E9" s="9"/>
      <c r="F9" s="10"/>
    </row>
    <row r="10" spans="1:6" ht="26.4">
      <c r="A10" s="15" t="s">
        <v>50</v>
      </c>
      <c r="B10" s="16" t="s">
        <v>52</v>
      </c>
      <c r="C10" s="16" t="s">
        <v>249</v>
      </c>
      <c r="D10" s="16"/>
      <c r="E10" s="16"/>
      <c r="F10" s="18"/>
    </row>
    <row r="12" spans="1:6" ht="14.4">
      <c r="A12" s="3" t="s">
        <v>59</v>
      </c>
      <c r="D12" s="60"/>
      <c r="E12" s="60"/>
      <c r="F12" s="60"/>
    </row>
    <row r="13" spans="1:6" ht="13.2">
      <c r="A13" s="19" t="s">
        <v>48</v>
      </c>
      <c r="B13" s="21" t="s">
        <v>63</v>
      </c>
      <c r="D13" s="22" t="s">
        <v>66</v>
      </c>
      <c r="E13" s="23" t="s">
        <v>69</v>
      </c>
    </row>
    <row r="14" spans="1:6" ht="13.2">
      <c r="A14" s="25" t="s">
        <v>34</v>
      </c>
      <c r="B14" s="21" t="s">
        <v>73</v>
      </c>
      <c r="D14" s="7" t="s">
        <v>66</v>
      </c>
      <c r="E14" s="10" t="s">
        <v>75</v>
      </c>
    </row>
    <row r="15" spans="1:6" ht="13.2">
      <c r="A15" s="26" t="s">
        <v>79</v>
      </c>
      <c r="B15" s="21" t="s">
        <v>82</v>
      </c>
      <c r="D15" s="7" t="s">
        <v>66</v>
      </c>
      <c r="E15" s="10" t="s">
        <v>83</v>
      </c>
    </row>
    <row r="16" spans="1:6" ht="13.2">
      <c r="A16" s="30" t="s">
        <v>28</v>
      </c>
      <c r="B16" s="21" t="s">
        <v>87</v>
      </c>
      <c r="D16" s="7" t="s">
        <v>66</v>
      </c>
      <c r="E16" s="10" t="s">
        <v>88</v>
      </c>
    </row>
    <row r="17" spans="1:6" ht="13.2">
      <c r="A17" s="31" t="s">
        <v>89</v>
      </c>
      <c r="B17" s="21" t="s">
        <v>90</v>
      </c>
      <c r="D17" s="15" t="s">
        <v>66</v>
      </c>
      <c r="E17" s="18" t="s">
        <v>91</v>
      </c>
    </row>
    <row r="18" spans="1:6" ht="13.2">
      <c r="A18" s="33" t="s">
        <v>38</v>
      </c>
      <c r="B18" s="21" t="s">
        <v>95</v>
      </c>
    </row>
    <row r="20" spans="1:6" ht="14.4">
      <c r="A20" s="61" t="s">
        <v>97</v>
      </c>
      <c r="B20" s="60"/>
      <c r="C20" s="60"/>
      <c r="D20" s="60"/>
      <c r="E20" s="60"/>
      <c r="F20" s="60"/>
    </row>
    <row r="21" spans="1:6" ht="15.75" customHeight="1">
      <c r="A21" s="59" t="s">
        <v>252</v>
      </c>
      <c r="B21" s="60"/>
      <c r="C21" s="60"/>
      <c r="D21" s="60"/>
      <c r="E21" s="60"/>
      <c r="F21" s="60"/>
    </row>
    <row r="22" spans="1:6" ht="15.75" customHeight="1">
      <c r="A22" s="60"/>
      <c r="B22" s="60"/>
      <c r="C22" s="60"/>
      <c r="D22" s="60"/>
      <c r="E22" s="60"/>
      <c r="F22" s="60"/>
    </row>
    <row r="23" spans="1:6" ht="15.75" customHeight="1">
      <c r="A23" s="60"/>
      <c r="B23" s="60"/>
      <c r="C23" s="60"/>
      <c r="D23" s="60"/>
      <c r="E23" s="60"/>
      <c r="F23" s="60"/>
    </row>
    <row r="24" spans="1:6" ht="15.75" customHeight="1">
      <c r="A24" s="60"/>
      <c r="B24" s="60"/>
      <c r="C24" s="60"/>
      <c r="D24" s="60"/>
      <c r="E24" s="60"/>
      <c r="F24" s="60"/>
    </row>
    <row r="25" spans="1:6" ht="15.75" customHeight="1">
      <c r="A25" s="60"/>
      <c r="B25" s="60"/>
      <c r="C25" s="60"/>
      <c r="D25" s="60"/>
      <c r="E25" s="60"/>
      <c r="F25" s="60"/>
    </row>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F2"/>
    <mergeCell ref="D12:F12"/>
    <mergeCell ref="A20:F20"/>
    <mergeCell ref="A21:F25"/>
  </mergeCells>
  <phoneticPr fontId="23"/>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01_設計書</vt:lpstr>
      <vt:lpstr>02_技術選択</vt:lpstr>
      <vt:lpstr>03_提出用まとめ</vt:lpstr>
      <vt:lpstr>04_使い方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大樹 石井</cp:lastModifiedBy>
  <dcterms:modified xsi:type="dcterms:W3CDTF">2026-10-21T18:52:46Z</dcterms:modified>
</cp:coreProperties>
</file>